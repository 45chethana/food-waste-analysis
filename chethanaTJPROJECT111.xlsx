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10" windowHeight="6830"/>
  </bookViews>
  <sheets>
    <sheet name="Sheet4" sheetId="12" r:id="rId1"/>
    <sheet name="Food Waste Analysis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<sst xmlns="http://schemas.openxmlformats.org/spreadsheetml/2006/main" count="131" uniqueCount="83">
  <si>
    <t xml:space="preserve"> </t>
  </si>
  <si>
    <t>FOOD  WASTAGE ,PURCHASE, CONSUMED ANALYSIS</t>
  </si>
  <si>
    <t>Food Item</t>
  </si>
  <si>
    <t>Sum of Wasted Quantity (kg)</t>
  </si>
  <si>
    <t>Sum of Purchased Quantity (kg)</t>
  </si>
  <si>
    <t>Sum of Consumed Quantity (kg)</t>
  </si>
  <si>
    <t>Sum of Purchase Frequency (per week)</t>
  </si>
  <si>
    <t>Apples</t>
  </si>
  <si>
    <t>Baking Powder</t>
  </si>
  <si>
    <t>Bananas</t>
  </si>
  <si>
    <t>Beans</t>
  </si>
  <si>
    <t>Beef</t>
  </si>
  <si>
    <t>Bread</t>
  </si>
  <si>
    <t>Butter</t>
  </si>
  <si>
    <t>Carrots</t>
  </si>
  <si>
    <t>Cheese</t>
  </si>
  <si>
    <t>Chicken</t>
  </si>
  <si>
    <t>Chocolate</t>
  </si>
  <si>
    <t>Coffee</t>
  </si>
  <si>
    <t>Corn</t>
  </si>
  <si>
    <t>Cucumber</t>
  </si>
  <si>
    <t>Eggs</t>
  </si>
  <si>
    <t>Fish</t>
  </si>
  <si>
    <t>Flour</t>
  </si>
  <si>
    <t>Grapes</t>
  </si>
  <si>
    <t>Honey</t>
  </si>
  <si>
    <t>Ice Cream</t>
  </si>
  <si>
    <t>Lentils</t>
  </si>
  <si>
    <t>Lettuce</t>
  </si>
  <si>
    <t>Milk</t>
  </si>
  <si>
    <t>Mushrooms</t>
  </si>
  <si>
    <t>Nuts</t>
  </si>
  <si>
    <t>Oil</t>
  </si>
  <si>
    <t>Onions</t>
  </si>
  <si>
    <t>Oranges</t>
  </si>
  <si>
    <t>Pasta</t>
  </si>
  <si>
    <t>Peaches</t>
  </si>
  <si>
    <t>Peas</t>
  </si>
  <si>
    <t>Pineapple</t>
  </si>
  <si>
    <t>Pork</t>
  </si>
  <si>
    <t>Potatoes</t>
  </si>
  <si>
    <t>Rice</t>
  </si>
  <si>
    <t>Salt</t>
  </si>
  <si>
    <t>Seeds</t>
  </si>
  <si>
    <t>Spinach</t>
  </si>
  <si>
    <t>Strawberries</t>
  </si>
  <si>
    <t>Sugar</t>
  </si>
  <si>
    <t>Tea</t>
  </si>
  <si>
    <t>Tomatoes</t>
  </si>
  <si>
    <t>Watermelon</t>
  </si>
  <si>
    <t>Yogurt</t>
  </si>
  <si>
    <t>Zucchini</t>
  </si>
  <si>
    <t>Grand Total</t>
  </si>
  <si>
    <t>Column1</t>
  </si>
  <si>
    <t>Column2</t>
  </si>
  <si>
    <t>Column3</t>
  </si>
  <si>
    <t>Column4</t>
  </si>
  <si>
    <t>Column5</t>
  </si>
  <si>
    <t>standard deviation</t>
  </si>
  <si>
    <t>mean(average)</t>
  </si>
  <si>
    <t>range</t>
  </si>
  <si>
    <t>Wasted Quantity:​</t>
  </si>
  <si>
    <t>The average food wastage per item is 0.40 kg.​</t>
  </si>
  <si>
    <t>The standard deviation is 0.36 kg, indicating that most items have low variability in wastage.​</t>
  </si>
  <si>
    <t>The range is 1.90 kg, showing the difference between the most and least wasted items.​</t>
  </si>
  <si>
    <t>​</t>
  </si>
  <si>
    <t>Purchased Quantity:​</t>
  </si>
  <si>
    <t>The average quantity purchased per item is 2.56 kg.​</t>
  </si>
  <si>
    <t>The standard deviation is 1.97 kg, showing greater variability in purchasing patterns.​</t>
  </si>
  <si>
    <t>The range is 11.50 kg, indicating some items are purchased significantly more.​</t>
  </si>
  <si>
    <t>Consumed Quantity:​</t>
  </si>
  <si>
    <t>The average consumption is 2.16 kg per item.​</t>
  </si>
  <si>
    <t>The standard deviation is 1.68 kg, highlighting moderate variability.​</t>
  </si>
  <si>
    <t>The range is 9.60 kg, meaning some items are consumed much more.​</t>
  </si>
  <si>
    <t>Purchase Frequency:​</t>
  </si>
  <si>
    <t>The average frequency is 1.69 times per week.​</t>
  </si>
  <si>
    <t>The standard deviation is 0.67, showing consistent patterns.​</t>
  </si>
  <si>
    <t>The range is 2.00, suggesting some items are bought more frequently​</t>
  </si>
  <si>
    <t>Purchased Quantity (kg)</t>
  </si>
  <si>
    <t>Consumed Quantity (kg)</t>
  </si>
  <si>
    <t>Wasted Quantity (kg)</t>
  </si>
  <si>
    <t>Purchase Frequency (per week)</t>
  </si>
  <si>
    <t>wastage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</si>
</sst>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\%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theme="4" tint="0.599993896298105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/>
    <xf numFmtId="178" fontId="0" fillId="0" borderId="0" xfId="0" applyNumberFormat="1"/>
    <xf numFmtId="178" fontId="1" fillId="0" borderId="1" xfId="0" applyNumberFormat="1" applyFont="1" applyBorder="1" applyAlignment="1">
      <alignment horizontal="center" vertical="top"/>
    </xf>
    <xf numFmtId="179" fontId="0" fillId="0" borderId="0" xfId="0" applyNumberFormat="1"/>
    <xf numFmtId="178" fontId="0" fillId="0" borderId="0" xfId="0" applyNumberFormat="1" applyAlignment="1">
      <alignment wrapText="1"/>
    </xf>
    <xf numFmtId="178" fontId="0" fillId="2" borderId="2" xfId="0" applyNumberFormat="1" applyFont="1" applyFill="1" applyBorder="1"/>
    <xf numFmtId="0" fontId="0" fillId="3" borderId="0" xfId="0" applyFill="1" applyAlignment="1">
      <alignment horizontal="center"/>
    </xf>
    <xf numFmtId="178" fontId="0" fillId="0" borderId="0" xfId="0" applyNumberFormat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178" formatCode="0.00_);[Red]\(0.00\)"/>
      <alignment wrapText="1"/>
    </dxf>
    <dxf>
      <numFmt numFmtId="178" formatCode="0.00_);[Red]\(0.00\)"/>
      <alignment wrapText="1"/>
    </dxf>
    <dxf>
      <numFmt numFmtId="178" formatCode="0.00_);[Red]\(0.00\)"/>
      <alignment wrapText="1"/>
    </dxf>
    <dxf>
      <numFmt numFmtId="178" formatCode="0.00_);[Red]\(0.00\)"/>
      <alignment wrapText="1"/>
    </dxf>
    <dxf>
      <numFmt numFmtId="178" formatCode="0.00_);[Red]\(0.00\)"/>
      <alignment wrapText="1"/>
    </dxf>
    <dxf>
      <numFmt numFmtId="179" formatCode="0\%"/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</dxf>
    <dxf>
      <font>
        <b val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fill>
        <patternFill patternType="solid">
          <fgColor theme="4" tint="0.599993896298105"/>
          <bgColor theme="4" tint="0.599993896298105"/>
        </patternFill>
      </fill>
      <border>
        <vertical style="thin">
          <color theme="0"/>
        </vertical>
      </border>
    </dxf>
  </dxfs>
  <tableStyles count="1" defaultTableStyle="TableStyleMedium9" defaultPivotStyle="PivotStyleLight16">
    <tableStyle name="PivotStylePreset6_Accent1" table="0" count="7" xr9:uid="{C14D74E0-0E90-48FA-A4CF-29A2662E7F7C}">
      <tableStyleElement type="wholeTable" dxfId="20"/>
      <tableStyleElement type="firstColumn" dxfId="19"/>
      <tableStyleElement type="firstRowStripe" dxfId="18"/>
      <tableStyleElement type="firstColumnStripe" dxfId="17"/>
      <tableStyleElement type="firstSubtotalColumn" dxfId="16"/>
      <tableStyleElement type="firstSubtotalRow" dxfId="15"/>
      <tableStyleElement type="pageFieldLabel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Consumption Efficiency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'Food Waste Analysis'!$B$1</c:f>
              <c:strCache>
                <c:ptCount val="1"/>
                <c:pt idx="0">
                  <c:v>Purchased Quantity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'Food Waste Analysis'!$A$2:$A$46</c:f>
              <c:strCache>
                <c:ptCount val="45"/>
                <c:pt idx="0" c:formatCode="0.00_);[Red]\(0.00\)">
                  <c:v>Milk</c:v>
                </c:pt>
                <c:pt idx="1" c:formatCode="0.00_);[Red]\(0.00\)">
                  <c:v>Bread</c:v>
                </c:pt>
                <c:pt idx="2" c:formatCode="0.00_);[Red]\(0.00\)">
                  <c:v>Apples</c:v>
                </c:pt>
                <c:pt idx="3" c:formatCode="0.00_);[Red]\(0.00\)">
                  <c:v>Chicken</c:v>
                </c:pt>
                <c:pt idx="4" c:formatCode="0.00_);[Red]\(0.00\)">
                  <c:v>Rice</c:v>
                </c:pt>
                <c:pt idx="5" c:formatCode="0.00_);[Red]\(0.00\)">
                  <c:v>Potatoes</c:v>
                </c:pt>
                <c:pt idx="6" c:formatCode="0.00_);[Red]\(0.00\)">
                  <c:v>Eggs</c:v>
                </c:pt>
                <c:pt idx="7" c:formatCode="0.00_);[Red]\(0.00\)">
                  <c:v>Fish</c:v>
                </c:pt>
                <c:pt idx="8" c:formatCode="0.00_);[Red]\(0.00\)">
                  <c:v>Bananas</c:v>
                </c:pt>
                <c:pt idx="9" c:formatCode="0.00_);[Red]\(0.00\)">
                  <c:v>Onions</c:v>
                </c:pt>
                <c:pt idx="10" c:formatCode="0.00_);[Red]\(0.00\)">
                  <c:v>Tomatoes</c:v>
                </c:pt>
                <c:pt idx="11" c:formatCode="0.00_);[Red]\(0.00\)">
                  <c:v>Cheese</c:v>
                </c:pt>
                <c:pt idx="12" c:formatCode="0.00_);[Red]\(0.00\)">
                  <c:v>Yogurt</c:v>
                </c:pt>
                <c:pt idx="13" c:formatCode="0.00_);[Red]\(0.00\)">
                  <c:v>Spinach</c:v>
                </c:pt>
                <c:pt idx="14" c:formatCode="0.00_);[Red]\(0.00\)">
                  <c:v>Beef</c:v>
                </c:pt>
                <c:pt idx="15" c:formatCode="0.00_);[Red]\(0.00\)">
                  <c:v>Oranges</c:v>
                </c:pt>
                <c:pt idx="16" c:formatCode="0.00_);[Red]\(0.00\)">
                  <c:v>Grapes</c:v>
                </c:pt>
                <c:pt idx="17" c:formatCode="0.00_);[Red]\(0.00\)">
                  <c:v>Lettuce</c:v>
                </c:pt>
                <c:pt idx="18" c:formatCode="0.00_);[Red]\(0.00\)">
                  <c:v>Carrots</c:v>
                </c:pt>
                <c:pt idx="19" c:formatCode="0.00_);[Red]\(0.00\)">
                  <c:v>Peas</c:v>
                </c:pt>
                <c:pt idx="20" c:formatCode="0.00_);[Red]\(0.00\)">
                  <c:v>Beans</c:v>
                </c:pt>
                <c:pt idx="21" c:formatCode="0.00_);[Red]\(0.00\)">
                  <c:v>Pasta</c:v>
                </c:pt>
                <c:pt idx="22" c:formatCode="0.00_);[Red]\(0.00\)">
                  <c:v>Lentils</c:v>
                </c:pt>
                <c:pt idx="23" c:formatCode="0.00_);[Red]\(0.00\)">
                  <c:v>Watermelon</c:v>
                </c:pt>
                <c:pt idx="24" c:formatCode="0.00_);[Red]\(0.00\)">
                  <c:v>Cucumber</c:v>
                </c:pt>
                <c:pt idx="25" c:formatCode="0.00_);[Red]\(0.00\)">
                  <c:v>Pork</c:v>
                </c:pt>
                <c:pt idx="26" c:formatCode="0.00_);[Red]\(0.00\)">
                  <c:v>Peaches</c:v>
                </c:pt>
                <c:pt idx="27" c:formatCode="0.00_);[Red]\(0.00\)">
                  <c:v>Strawberries</c:v>
                </c:pt>
                <c:pt idx="28" c:formatCode="0.00_);[Red]\(0.00\)">
                  <c:v>Butter</c:v>
                </c:pt>
                <c:pt idx="29" c:formatCode="0.00_);[Red]\(0.00\)">
                  <c:v>Oil</c:v>
                </c:pt>
                <c:pt idx="30" c:formatCode="0.00_);[Red]\(0.00\)">
                  <c:v>Sugar</c:v>
                </c:pt>
                <c:pt idx="31" c:formatCode="0.00_);[Red]\(0.00\)">
                  <c:v>Salt</c:v>
                </c:pt>
                <c:pt idx="32" c:formatCode="0.00_);[Red]\(0.00\)">
                  <c:v>Mushrooms</c:v>
                </c:pt>
                <c:pt idx="33" c:formatCode="0.00_);[Red]\(0.00\)">
                  <c:v>Corn</c:v>
                </c:pt>
                <c:pt idx="34" c:formatCode="0.00_);[Red]\(0.00\)">
                  <c:v>Zucchini</c:v>
                </c:pt>
                <c:pt idx="35" c:formatCode="0.00_);[Red]\(0.00\)">
                  <c:v>Pineapple</c:v>
                </c:pt>
                <c:pt idx="36" c:formatCode="0.00_);[Red]\(0.00\)">
                  <c:v>Chocolate</c:v>
                </c:pt>
                <c:pt idx="37" c:formatCode="0.00_);[Red]\(0.00\)">
                  <c:v>Ice Cream</c:v>
                </c:pt>
                <c:pt idx="38" c:formatCode="0.00_);[Red]\(0.00\)">
                  <c:v>Coffee</c:v>
                </c:pt>
                <c:pt idx="39" c:formatCode="0.00_);[Red]\(0.00\)">
                  <c:v>Tea</c:v>
                </c:pt>
                <c:pt idx="40" c:formatCode="0.00_);[Red]\(0.00\)">
                  <c:v>Flour</c:v>
                </c:pt>
                <c:pt idx="41" c:formatCode="0.00_);[Red]\(0.00\)">
                  <c:v>Baking Powder</c:v>
                </c:pt>
                <c:pt idx="42" c:formatCode="0.00_);[Red]\(0.00\)">
                  <c:v>Honey</c:v>
                </c:pt>
                <c:pt idx="43" c:formatCode="0.00_);[Red]\(0.00\)">
                  <c:v>Nuts</c:v>
                </c:pt>
                <c:pt idx="44" c:formatCode="0.00_);[Red]\(0.00\)">
                  <c:v>Seeds</c:v>
                </c:pt>
              </c:strCache>
            </c:strRef>
          </c:cat>
          <c:val>
            <c:numRef>
              <c:f>'Food Waste Analysis'!$B$2:$B$46</c:f>
              <c:numCache>
                <c:formatCode>0.00_);[Red]\(0.00\)</c:formatCode>
                <c:ptCount val="45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12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1.5</c:v>
                </c:pt>
                <c:pt idx="17">
                  <c:v>1</c:v>
                </c:pt>
                <c:pt idx="18">
                  <c:v>3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2</c:v>
                </c:pt>
                <c:pt idx="23">
                  <c:v>5</c:v>
                </c:pt>
                <c:pt idx="24">
                  <c:v>3</c:v>
                </c:pt>
                <c:pt idx="25">
                  <c:v>4</c:v>
                </c:pt>
                <c:pt idx="26">
                  <c:v>2</c:v>
                </c:pt>
                <c:pt idx="27">
                  <c:v>1.5</c:v>
                </c:pt>
                <c:pt idx="28">
                  <c:v>1</c:v>
                </c:pt>
                <c:pt idx="29">
                  <c:v>3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1.5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0.5</c:v>
                </c:pt>
                <c:pt idx="40">
                  <c:v>4</c:v>
                </c:pt>
                <c:pt idx="41">
                  <c:v>0.5</c:v>
                </c:pt>
                <c:pt idx="42">
                  <c:v>1</c:v>
                </c:pt>
                <c:pt idx="43">
                  <c:v>1.5</c:v>
                </c:pt>
                <c:pt idx="44">
                  <c:v>1</c:v>
                </c:pt>
              </c:numCache>
            </c:numRef>
          </c:val>
        </c:ser>
        <c:ser>
          <c:idx val="1"/>
          <c:order val="1"/>
          <c:tx>
            <c:strRef>
              <c:f>'Food Waste Analysis'!$C$1</c:f>
              <c:strCache>
                <c:ptCount val="1"/>
                <c:pt idx="0">
                  <c:v>Consumed Quantity (kg)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'Food Waste Analysis'!$A$2:$A$46</c:f>
              <c:strCache>
                <c:ptCount val="45"/>
                <c:pt idx="0" c:formatCode="0.00_);[Red]\(0.00\)">
                  <c:v>Milk</c:v>
                </c:pt>
                <c:pt idx="1" c:formatCode="0.00_);[Red]\(0.00\)">
                  <c:v>Bread</c:v>
                </c:pt>
                <c:pt idx="2" c:formatCode="0.00_);[Red]\(0.00\)">
                  <c:v>Apples</c:v>
                </c:pt>
                <c:pt idx="3" c:formatCode="0.00_);[Red]\(0.00\)">
                  <c:v>Chicken</c:v>
                </c:pt>
                <c:pt idx="4" c:formatCode="0.00_);[Red]\(0.00\)">
                  <c:v>Rice</c:v>
                </c:pt>
                <c:pt idx="5" c:formatCode="0.00_);[Red]\(0.00\)">
                  <c:v>Potatoes</c:v>
                </c:pt>
                <c:pt idx="6" c:formatCode="0.00_);[Red]\(0.00\)">
                  <c:v>Eggs</c:v>
                </c:pt>
                <c:pt idx="7" c:formatCode="0.00_);[Red]\(0.00\)">
                  <c:v>Fish</c:v>
                </c:pt>
                <c:pt idx="8" c:formatCode="0.00_);[Red]\(0.00\)">
                  <c:v>Bananas</c:v>
                </c:pt>
                <c:pt idx="9" c:formatCode="0.00_);[Red]\(0.00\)">
                  <c:v>Onions</c:v>
                </c:pt>
                <c:pt idx="10" c:formatCode="0.00_);[Red]\(0.00\)">
                  <c:v>Tomatoes</c:v>
                </c:pt>
                <c:pt idx="11" c:formatCode="0.00_);[Red]\(0.00\)">
                  <c:v>Cheese</c:v>
                </c:pt>
                <c:pt idx="12" c:formatCode="0.00_);[Red]\(0.00\)">
                  <c:v>Yogurt</c:v>
                </c:pt>
                <c:pt idx="13" c:formatCode="0.00_);[Red]\(0.00\)">
                  <c:v>Spinach</c:v>
                </c:pt>
                <c:pt idx="14" c:formatCode="0.00_);[Red]\(0.00\)">
                  <c:v>Beef</c:v>
                </c:pt>
                <c:pt idx="15" c:formatCode="0.00_);[Red]\(0.00\)">
                  <c:v>Oranges</c:v>
                </c:pt>
                <c:pt idx="16" c:formatCode="0.00_);[Red]\(0.00\)">
                  <c:v>Grapes</c:v>
                </c:pt>
                <c:pt idx="17" c:formatCode="0.00_);[Red]\(0.00\)">
                  <c:v>Lettuce</c:v>
                </c:pt>
                <c:pt idx="18" c:formatCode="0.00_);[Red]\(0.00\)">
                  <c:v>Carrots</c:v>
                </c:pt>
                <c:pt idx="19" c:formatCode="0.00_);[Red]\(0.00\)">
                  <c:v>Peas</c:v>
                </c:pt>
                <c:pt idx="20" c:formatCode="0.00_);[Red]\(0.00\)">
                  <c:v>Beans</c:v>
                </c:pt>
                <c:pt idx="21" c:formatCode="0.00_);[Red]\(0.00\)">
                  <c:v>Pasta</c:v>
                </c:pt>
                <c:pt idx="22" c:formatCode="0.00_);[Red]\(0.00\)">
                  <c:v>Lentils</c:v>
                </c:pt>
                <c:pt idx="23" c:formatCode="0.00_);[Red]\(0.00\)">
                  <c:v>Watermelon</c:v>
                </c:pt>
                <c:pt idx="24" c:formatCode="0.00_);[Red]\(0.00\)">
                  <c:v>Cucumber</c:v>
                </c:pt>
                <c:pt idx="25" c:formatCode="0.00_);[Red]\(0.00\)">
                  <c:v>Pork</c:v>
                </c:pt>
                <c:pt idx="26" c:formatCode="0.00_);[Red]\(0.00\)">
                  <c:v>Peaches</c:v>
                </c:pt>
                <c:pt idx="27" c:formatCode="0.00_);[Red]\(0.00\)">
                  <c:v>Strawberries</c:v>
                </c:pt>
                <c:pt idx="28" c:formatCode="0.00_);[Red]\(0.00\)">
                  <c:v>Butter</c:v>
                </c:pt>
                <c:pt idx="29" c:formatCode="0.00_);[Red]\(0.00\)">
                  <c:v>Oil</c:v>
                </c:pt>
                <c:pt idx="30" c:formatCode="0.00_);[Red]\(0.00\)">
                  <c:v>Sugar</c:v>
                </c:pt>
                <c:pt idx="31" c:formatCode="0.00_);[Red]\(0.00\)">
                  <c:v>Salt</c:v>
                </c:pt>
                <c:pt idx="32" c:formatCode="0.00_);[Red]\(0.00\)">
                  <c:v>Mushrooms</c:v>
                </c:pt>
                <c:pt idx="33" c:formatCode="0.00_);[Red]\(0.00\)">
                  <c:v>Corn</c:v>
                </c:pt>
                <c:pt idx="34" c:formatCode="0.00_);[Red]\(0.00\)">
                  <c:v>Zucchini</c:v>
                </c:pt>
                <c:pt idx="35" c:formatCode="0.00_);[Red]\(0.00\)">
                  <c:v>Pineapple</c:v>
                </c:pt>
                <c:pt idx="36" c:formatCode="0.00_);[Red]\(0.00\)">
                  <c:v>Chocolate</c:v>
                </c:pt>
                <c:pt idx="37" c:formatCode="0.00_);[Red]\(0.00\)">
                  <c:v>Ice Cream</c:v>
                </c:pt>
                <c:pt idx="38" c:formatCode="0.00_);[Red]\(0.00\)">
                  <c:v>Coffee</c:v>
                </c:pt>
                <c:pt idx="39" c:formatCode="0.00_);[Red]\(0.00\)">
                  <c:v>Tea</c:v>
                </c:pt>
                <c:pt idx="40" c:formatCode="0.00_);[Red]\(0.00\)">
                  <c:v>Flour</c:v>
                </c:pt>
                <c:pt idx="41" c:formatCode="0.00_);[Red]\(0.00\)">
                  <c:v>Baking Powder</c:v>
                </c:pt>
                <c:pt idx="42" c:formatCode="0.00_);[Red]\(0.00\)">
                  <c:v>Honey</c:v>
                </c:pt>
                <c:pt idx="43" c:formatCode="0.00_);[Red]\(0.00\)">
                  <c:v>Nuts</c:v>
                </c:pt>
                <c:pt idx="44" c:formatCode="0.00_);[Red]\(0.00\)">
                  <c:v>Seeds</c:v>
                </c:pt>
              </c:strCache>
            </c:strRef>
          </c:cat>
          <c:val>
            <c:numRef>
              <c:f>'Food Waste Analysis'!$C$2:$C$46</c:f>
              <c:numCache>
                <c:formatCode>0.00_);[Red]\(0.00\)</c:formatCode>
                <c:ptCount val="45"/>
                <c:pt idx="0">
                  <c:v>1.5</c:v>
                </c:pt>
                <c:pt idx="1">
                  <c:v>4</c:v>
                </c:pt>
                <c:pt idx="2">
                  <c:v>2</c:v>
                </c:pt>
                <c:pt idx="3">
                  <c:v>1.5</c:v>
                </c:pt>
                <c:pt idx="4">
                  <c:v>3</c:v>
                </c:pt>
                <c:pt idx="5">
                  <c:v>5</c:v>
                </c:pt>
                <c:pt idx="6">
                  <c:v>10</c:v>
                </c:pt>
                <c:pt idx="7">
                  <c:v>2.5</c:v>
                </c:pt>
                <c:pt idx="8">
                  <c:v>1.5</c:v>
                </c:pt>
                <c:pt idx="9">
                  <c:v>3</c:v>
                </c:pt>
                <c:pt idx="10">
                  <c:v>4.5</c:v>
                </c:pt>
                <c:pt idx="11">
                  <c:v>0.8</c:v>
                </c:pt>
                <c:pt idx="12">
                  <c:v>1.8</c:v>
                </c:pt>
                <c:pt idx="13">
                  <c:v>0.8</c:v>
                </c:pt>
                <c:pt idx="14">
                  <c:v>2.7</c:v>
                </c:pt>
                <c:pt idx="15">
                  <c:v>1.8</c:v>
                </c:pt>
                <c:pt idx="16">
                  <c:v>1.2</c:v>
                </c:pt>
                <c:pt idx="17">
                  <c:v>0.7</c:v>
                </c:pt>
                <c:pt idx="18">
                  <c:v>2.5</c:v>
                </c:pt>
                <c:pt idx="19">
                  <c:v>1.5</c:v>
                </c:pt>
                <c:pt idx="20">
                  <c:v>2.8</c:v>
                </c:pt>
                <c:pt idx="21">
                  <c:v>3.5</c:v>
                </c:pt>
                <c:pt idx="22">
                  <c:v>1.8</c:v>
                </c:pt>
                <c:pt idx="23">
                  <c:v>4.5</c:v>
                </c:pt>
                <c:pt idx="24">
                  <c:v>2.5</c:v>
                </c:pt>
                <c:pt idx="25">
                  <c:v>3.8</c:v>
                </c:pt>
                <c:pt idx="26">
                  <c:v>1.8</c:v>
                </c:pt>
                <c:pt idx="27">
                  <c:v>1.2</c:v>
                </c:pt>
                <c:pt idx="28">
                  <c:v>0.8</c:v>
                </c:pt>
                <c:pt idx="29">
                  <c:v>2.8</c:v>
                </c:pt>
                <c:pt idx="30">
                  <c:v>1.8</c:v>
                </c:pt>
                <c:pt idx="31">
                  <c:v>0.9</c:v>
                </c:pt>
                <c:pt idx="32">
                  <c:v>0.8</c:v>
                </c:pt>
                <c:pt idx="33">
                  <c:v>1.5</c:v>
                </c:pt>
                <c:pt idx="34">
                  <c:v>1.2</c:v>
                </c:pt>
                <c:pt idx="35">
                  <c:v>1.8</c:v>
                </c:pt>
                <c:pt idx="36">
                  <c:v>0.9</c:v>
                </c:pt>
                <c:pt idx="37">
                  <c:v>1.8</c:v>
                </c:pt>
                <c:pt idx="38">
                  <c:v>0.9</c:v>
                </c:pt>
                <c:pt idx="39">
                  <c:v>0.4</c:v>
                </c:pt>
                <c:pt idx="40">
                  <c:v>3.8</c:v>
                </c:pt>
                <c:pt idx="41">
                  <c:v>0.4</c:v>
                </c:pt>
                <c:pt idx="42">
                  <c:v>0.9</c:v>
                </c:pt>
                <c:pt idx="43">
                  <c:v>1.4</c:v>
                </c:pt>
                <c:pt idx="44">
                  <c:v>0.8</c:v>
                </c:pt>
              </c:numCache>
            </c:numRef>
          </c:val>
        </c:ser>
        <c:ser>
          <c:idx val="2"/>
          <c:order val="2"/>
          <c:tx>
            <c:strRef>
              <c:f>'Food Waste Analysis'!$D$1</c:f>
              <c:strCache>
                <c:ptCount val="1"/>
                <c:pt idx="0">
                  <c:v>Wasted Quantity (kg)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'Food Waste Analysis'!$A$2:$A$46</c:f>
              <c:strCache>
                <c:ptCount val="45"/>
                <c:pt idx="0" c:formatCode="0.00_);[Red]\(0.00\)">
                  <c:v>Milk</c:v>
                </c:pt>
                <c:pt idx="1" c:formatCode="0.00_);[Red]\(0.00\)">
                  <c:v>Bread</c:v>
                </c:pt>
                <c:pt idx="2" c:formatCode="0.00_);[Red]\(0.00\)">
                  <c:v>Apples</c:v>
                </c:pt>
                <c:pt idx="3" c:formatCode="0.00_);[Red]\(0.00\)">
                  <c:v>Chicken</c:v>
                </c:pt>
                <c:pt idx="4" c:formatCode="0.00_);[Red]\(0.00\)">
                  <c:v>Rice</c:v>
                </c:pt>
                <c:pt idx="5" c:formatCode="0.00_);[Red]\(0.00\)">
                  <c:v>Potatoes</c:v>
                </c:pt>
                <c:pt idx="6" c:formatCode="0.00_);[Red]\(0.00\)">
                  <c:v>Eggs</c:v>
                </c:pt>
                <c:pt idx="7" c:formatCode="0.00_);[Red]\(0.00\)">
                  <c:v>Fish</c:v>
                </c:pt>
                <c:pt idx="8" c:formatCode="0.00_);[Red]\(0.00\)">
                  <c:v>Bananas</c:v>
                </c:pt>
                <c:pt idx="9" c:formatCode="0.00_);[Red]\(0.00\)">
                  <c:v>Onions</c:v>
                </c:pt>
                <c:pt idx="10" c:formatCode="0.00_);[Red]\(0.00\)">
                  <c:v>Tomatoes</c:v>
                </c:pt>
                <c:pt idx="11" c:formatCode="0.00_);[Red]\(0.00\)">
                  <c:v>Cheese</c:v>
                </c:pt>
                <c:pt idx="12" c:formatCode="0.00_);[Red]\(0.00\)">
                  <c:v>Yogurt</c:v>
                </c:pt>
                <c:pt idx="13" c:formatCode="0.00_);[Red]\(0.00\)">
                  <c:v>Spinach</c:v>
                </c:pt>
                <c:pt idx="14" c:formatCode="0.00_);[Red]\(0.00\)">
                  <c:v>Beef</c:v>
                </c:pt>
                <c:pt idx="15" c:formatCode="0.00_);[Red]\(0.00\)">
                  <c:v>Oranges</c:v>
                </c:pt>
                <c:pt idx="16" c:formatCode="0.00_);[Red]\(0.00\)">
                  <c:v>Grapes</c:v>
                </c:pt>
                <c:pt idx="17" c:formatCode="0.00_);[Red]\(0.00\)">
                  <c:v>Lettuce</c:v>
                </c:pt>
                <c:pt idx="18" c:formatCode="0.00_);[Red]\(0.00\)">
                  <c:v>Carrots</c:v>
                </c:pt>
                <c:pt idx="19" c:formatCode="0.00_);[Red]\(0.00\)">
                  <c:v>Peas</c:v>
                </c:pt>
                <c:pt idx="20" c:formatCode="0.00_);[Red]\(0.00\)">
                  <c:v>Beans</c:v>
                </c:pt>
                <c:pt idx="21" c:formatCode="0.00_);[Red]\(0.00\)">
                  <c:v>Pasta</c:v>
                </c:pt>
                <c:pt idx="22" c:formatCode="0.00_);[Red]\(0.00\)">
                  <c:v>Lentils</c:v>
                </c:pt>
                <c:pt idx="23" c:formatCode="0.00_);[Red]\(0.00\)">
                  <c:v>Watermelon</c:v>
                </c:pt>
                <c:pt idx="24" c:formatCode="0.00_);[Red]\(0.00\)">
                  <c:v>Cucumber</c:v>
                </c:pt>
                <c:pt idx="25" c:formatCode="0.00_);[Red]\(0.00\)">
                  <c:v>Pork</c:v>
                </c:pt>
                <c:pt idx="26" c:formatCode="0.00_);[Red]\(0.00\)">
                  <c:v>Peaches</c:v>
                </c:pt>
                <c:pt idx="27" c:formatCode="0.00_);[Red]\(0.00\)">
                  <c:v>Strawberries</c:v>
                </c:pt>
                <c:pt idx="28" c:formatCode="0.00_);[Red]\(0.00\)">
                  <c:v>Butter</c:v>
                </c:pt>
                <c:pt idx="29" c:formatCode="0.00_);[Red]\(0.00\)">
                  <c:v>Oil</c:v>
                </c:pt>
                <c:pt idx="30" c:formatCode="0.00_);[Red]\(0.00\)">
                  <c:v>Sugar</c:v>
                </c:pt>
                <c:pt idx="31" c:formatCode="0.00_);[Red]\(0.00\)">
                  <c:v>Salt</c:v>
                </c:pt>
                <c:pt idx="32" c:formatCode="0.00_);[Red]\(0.00\)">
                  <c:v>Mushrooms</c:v>
                </c:pt>
                <c:pt idx="33" c:formatCode="0.00_);[Red]\(0.00\)">
                  <c:v>Corn</c:v>
                </c:pt>
                <c:pt idx="34" c:formatCode="0.00_);[Red]\(0.00\)">
                  <c:v>Zucchini</c:v>
                </c:pt>
                <c:pt idx="35" c:formatCode="0.00_);[Red]\(0.00\)">
                  <c:v>Pineapple</c:v>
                </c:pt>
                <c:pt idx="36" c:formatCode="0.00_);[Red]\(0.00\)">
                  <c:v>Chocolate</c:v>
                </c:pt>
                <c:pt idx="37" c:formatCode="0.00_);[Red]\(0.00\)">
                  <c:v>Ice Cream</c:v>
                </c:pt>
                <c:pt idx="38" c:formatCode="0.00_);[Red]\(0.00\)">
                  <c:v>Coffee</c:v>
                </c:pt>
                <c:pt idx="39" c:formatCode="0.00_);[Red]\(0.00\)">
                  <c:v>Tea</c:v>
                </c:pt>
                <c:pt idx="40" c:formatCode="0.00_);[Red]\(0.00\)">
                  <c:v>Flour</c:v>
                </c:pt>
                <c:pt idx="41" c:formatCode="0.00_);[Red]\(0.00\)">
                  <c:v>Baking Powder</c:v>
                </c:pt>
                <c:pt idx="42" c:formatCode="0.00_);[Red]\(0.00\)">
                  <c:v>Honey</c:v>
                </c:pt>
                <c:pt idx="43" c:formatCode="0.00_);[Red]\(0.00\)">
                  <c:v>Nuts</c:v>
                </c:pt>
                <c:pt idx="44" c:formatCode="0.00_);[Red]\(0.00\)">
                  <c:v>Seeds</c:v>
                </c:pt>
              </c:strCache>
            </c:strRef>
          </c:cat>
          <c:val>
            <c:numRef>
              <c:f>'Food Waste Analysis'!$D$2:$D$46</c:f>
              <c:numCache>
                <c:formatCode>0.00_);[Red]\(0.00\)</c:formatCode>
                <c:ptCount val="45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0.5</c:v>
                </c:pt>
                <c:pt idx="8">
                  <c:v>0.5</c:v>
                </c:pt>
                <c:pt idx="9">
                  <c:v>1</c:v>
                </c:pt>
                <c:pt idx="10">
                  <c:v>0.5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0.3</c:v>
                </c:pt>
                <c:pt idx="15">
                  <c:v>0.2</c:v>
                </c:pt>
                <c:pt idx="16">
                  <c:v>0.3</c:v>
                </c:pt>
                <c:pt idx="17">
                  <c:v>0.3</c:v>
                </c:pt>
                <c:pt idx="18">
                  <c:v>0.5</c:v>
                </c:pt>
                <c:pt idx="19">
                  <c:v>0.5</c:v>
                </c:pt>
                <c:pt idx="20">
                  <c:v>0.2</c:v>
                </c:pt>
                <c:pt idx="21">
                  <c:v>0.5</c:v>
                </c:pt>
                <c:pt idx="22">
                  <c:v>0.2</c:v>
                </c:pt>
                <c:pt idx="23">
                  <c:v>0.5</c:v>
                </c:pt>
                <c:pt idx="24">
                  <c:v>0.5</c:v>
                </c:pt>
                <c:pt idx="25">
                  <c:v>0.2</c:v>
                </c:pt>
                <c:pt idx="26">
                  <c:v>0.2</c:v>
                </c:pt>
                <c:pt idx="27">
                  <c:v>0.3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0.1</c:v>
                </c:pt>
                <c:pt idx="32">
                  <c:v>0.2</c:v>
                </c:pt>
                <c:pt idx="33">
                  <c:v>0.5</c:v>
                </c:pt>
                <c:pt idx="34">
                  <c:v>0.3</c:v>
                </c:pt>
                <c:pt idx="35">
                  <c:v>0.2</c:v>
                </c:pt>
                <c:pt idx="36">
                  <c:v>0.1</c:v>
                </c:pt>
                <c:pt idx="37">
                  <c:v>0.2</c:v>
                </c:pt>
                <c:pt idx="38">
                  <c:v>0.1</c:v>
                </c:pt>
                <c:pt idx="39">
                  <c:v>0.1</c:v>
                </c:pt>
                <c:pt idx="40">
                  <c:v>0.2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0"/>
        <c:axId val="852170781"/>
        <c:axId val="18825028"/>
      </c:barChart>
      <c:catAx>
        <c:axId val="8521707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825028"/>
        <c:crosses val="autoZero"/>
        <c:auto val="1"/>
        <c:lblAlgn val="ctr"/>
        <c:lblOffset val="100"/>
        <c:noMultiLvlLbl val="0"/>
      </c:catAx>
      <c:valAx>
        <c:axId val="188250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21707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c06107-627e-490f-83c0-5dff43d60b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Purchase Frequency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'Food Waste Analysis'!$E$1</c:f>
              <c:strCache>
                <c:ptCount val="1"/>
                <c:pt idx="0">
                  <c:v>Purchase Frequency (per week)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'Food Waste Analysis'!$A$2:$A$46</c:f>
              <c:strCache>
                <c:ptCount val="45"/>
                <c:pt idx="0" c:formatCode="0.00_);[Red]\(0.00\)">
                  <c:v>Milk</c:v>
                </c:pt>
                <c:pt idx="1" c:formatCode="0.00_);[Red]\(0.00\)">
                  <c:v>Bread</c:v>
                </c:pt>
                <c:pt idx="2" c:formatCode="0.00_);[Red]\(0.00\)">
                  <c:v>Apples</c:v>
                </c:pt>
                <c:pt idx="3" c:formatCode="0.00_);[Red]\(0.00\)">
                  <c:v>Chicken</c:v>
                </c:pt>
                <c:pt idx="4" c:formatCode="0.00_);[Red]\(0.00\)">
                  <c:v>Rice</c:v>
                </c:pt>
                <c:pt idx="5" c:formatCode="0.00_);[Red]\(0.00\)">
                  <c:v>Potatoes</c:v>
                </c:pt>
                <c:pt idx="6" c:formatCode="0.00_);[Red]\(0.00\)">
                  <c:v>Eggs</c:v>
                </c:pt>
                <c:pt idx="7" c:formatCode="0.00_);[Red]\(0.00\)">
                  <c:v>Fish</c:v>
                </c:pt>
                <c:pt idx="8" c:formatCode="0.00_);[Red]\(0.00\)">
                  <c:v>Bananas</c:v>
                </c:pt>
                <c:pt idx="9" c:formatCode="0.00_);[Red]\(0.00\)">
                  <c:v>Onions</c:v>
                </c:pt>
                <c:pt idx="10" c:formatCode="0.00_);[Red]\(0.00\)">
                  <c:v>Tomatoes</c:v>
                </c:pt>
                <c:pt idx="11" c:formatCode="0.00_);[Red]\(0.00\)">
                  <c:v>Cheese</c:v>
                </c:pt>
                <c:pt idx="12" c:formatCode="0.00_);[Red]\(0.00\)">
                  <c:v>Yogurt</c:v>
                </c:pt>
                <c:pt idx="13" c:formatCode="0.00_);[Red]\(0.00\)">
                  <c:v>Spinach</c:v>
                </c:pt>
                <c:pt idx="14" c:formatCode="0.00_);[Red]\(0.00\)">
                  <c:v>Beef</c:v>
                </c:pt>
                <c:pt idx="15" c:formatCode="0.00_);[Red]\(0.00\)">
                  <c:v>Oranges</c:v>
                </c:pt>
                <c:pt idx="16" c:formatCode="0.00_);[Red]\(0.00\)">
                  <c:v>Grapes</c:v>
                </c:pt>
                <c:pt idx="17" c:formatCode="0.00_);[Red]\(0.00\)">
                  <c:v>Lettuce</c:v>
                </c:pt>
                <c:pt idx="18" c:formatCode="0.00_);[Red]\(0.00\)">
                  <c:v>Carrots</c:v>
                </c:pt>
                <c:pt idx="19" c:formatCode="0.00_);[Red]\(0.00\)">
                  <c:v>Peas</c:v>
                </c:pt>
                <c:pt idx="20" c:formatCode="0.00_);[Red]\(0.00\)">
                  <c:v>Beans</c:v>
                </c:pt>
                <c:pt idx="21" c:formatCode="0.00_);[Red]\(0.00\)">
                  <c:v>Pasta</c:v>
                </c:pt>
                <c:pt idx="22" c:formatCode="0.00_);[Red]\(0.00\)">
                  <c:v>Lentils</c:v>
                </c:pt>
                <c:pt idx="23" c:formatCode="0.00_);[Red]\(0.00\)">
                  <c:v>Watermelon</c:v>
                </c:pt>
                <c:pt idx="24" c:formatCode="0.00_);[Red]\(0.00\)">
                  <c:v>Cucumber</c:v>
                </c:pt>
                <c:pt idx="25" c:formatCode="0.00_);[Red]\(0.00\)">
                  <c:v>Pork</c:v>
                </c:pt>
                <c:pt idx="26" c:formatCode="0.00_);[Red]\(0.00\)">
                  <c:v>Peaches</c:v>
                </c:pt>
                <c:pt idx="27" c:formatCode="0.00_);[Red]\(0.00\)">
                  <c:v>Strawberries</c:v>
                </c:pt>
                <c:pt idx="28" c:formatCode="0.00_);[Red]\(0.00\)">
                  <c:v>Butter</c:v>
                </c:pt>
                <c:pt idx="29" c:formatCode="0.00_);[Red]\(0.00\)">
                  <c:v>Oil</c:v>
                </c:pt>
                <c:pt idx="30" c:formatCode="0.00_);[Red]\(0.00\)">
                  <c:v>Sugar</c:v>
                </c:pt>
                <c:pt idx="31" c:formatCode="0.00_);[Red]\(0.00\)">
                  <c:v>Salt</c:v>
                </c:pt>
                <c:pt idx="32" c:formatCode="0.00_);[Red]\(0.00\)">
                  <c:v>Mushrooms</c:v>
                </c:pt>
                <c:pt idx="33" c:formatCode="0.00_);[Red]\(0.00\)">
                  <c:v>Corn</c:v>
                </c:pt>
                <c:pt idx="34" c:formatCode="0.00_);[Red]\(0.00\)">
                  <c:v>Zucchini</c:v>
                </c:pt>
                <c:pt idx="35" c:formatCode="0.00_);[Red]\(0.00\)">
                  <c:v>Pineapple</c:v>
                </c:pt>
                <c:pt idx="36" c:formatCode="0.00_);[Red]\(0.00\)">
                  <c:v>Chocolate</c:v>
                </c:pt>
                <c:pt idx="37" c:formatCode="0.00_);[Red]\(0.00\)">
                  <c:v>Ice Cream</c:v>
                </c:pt>
                <c:pt idx="38" c:formatCode="0.00_);[Red]\(0.00\)">
                  <c:v>Coffee</c:v>
                </c:pt>
                <c:pt idx="39" c:formatCode="0.00_);[Red]\(0.00\)">
                  <c:v>Tea</c:v>
                </c:pt>
                <c:pt idx="40" c:formatCode="0.00_);[Red]\(0.00\)">
                  <c:v>Flour</c:v>
                </c:pt>
                <c:pt idx="41" c:formatCode="0.00_);[Red]\(0.00\)">
                  <c:v>Baking Powder</c:v>
                </c:pt>
                <c:pt idx="42" c:formatCode="0.00_);[Red]\(0.00\)">
                  <c:v>Honey</c:v>
                </c:pt>
                <c:pt idx="43" c:formatCode="0.00_);[Red]\(0.00\)">
                  <c:v>Nuts</c:v>
                </c:pt>
                <c:pt idx="44" c:formatCode="0.00_);[Red]\(0.00\)">
                  <c:v>Seeds</c:v>
                </c:pt>
              </c:strCache>
            </c:strRef>
          </c:cat>
          <c:val>
            <c:numRef>
              <c:f>'Food Waste Analysis'!$E$2:$E$46</c:f>
              <c:numCache>
                <c:formatCode>0.00_);[Red]\(0.00\)</c:formatCode>
                <c:ptCount val="45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99853993"/>
        <c:axId val="4724385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'Food Waste Analysis'!$B$1</c15:sqref>
                        </c15:formulaRef>
                      </c:ext>
                    </c:extLst>
                    <c:strCache>
                      <c:ptCount val="1"/>
                      <c:pt idx="0">
                        <c:v>Purchased Quantity (kg)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'Food Waste Analysis'!$A$2:$A$46</c15:sqref>
                        </c15:formulaRef>
                      </c:ext>
                    </c:extLst>
                    <c:strCache>
                      <c:ptCount val="45"/>
                      <c:pt idx="0" c:formatCode="0.00_);[Red]\(0.00\)">
                        <c:v>Milk</c:v>
                      </c:pt>
                      <c:pt idx="1" c:formatCode="0.00_);[Red]\(0.00\)">
                        <c:v>Bread</c:v>
                      </c:pt>
                      <c:pt idx="2" c:formatCode="0.00_);[Red]\(0.00\)">
                        <c:v>Apples</c:v>
                      </c:pt>
                      <c:pt idx="3" c:formatCode="0.00_);[Red]\(0.00\)">
                        <c:v>Chicken</c:v>
                      </c:pt>
                      <c:pt idx="4" c:formatCode="0.00_);[Red]\(0.00\)">
                        <c:v>Rice</c:v>
                      </c:pt>
                      <c:pt idx="5" c:formatCode="0.00_);[Red]\(0.00\)">
                        <c:v>Potatoes</c:v>
                      </c:pt>
                      <c:pt idx="6" c:formatCode="0.00_);[Red]\(0.00\)">
                        <c:v>Eggs</c:v>
                      </c:pt>
                      <c:pt idx="7" c:formatCode="0.00_);[Red]\(0.00\)">
                        <c:v>Fish</c:v>
                      </c:pt>
                      <c:pt idx="8" c:formatCode="0.00_);[Red]\(0.00\)">
                        <c:v>Bananas</c:v>
                      </c:pt>
                      <c:pt idx="9" c:formatCode="0.00_);[Red]\(0.00\)">
                        <c:v>Onions</c:v>
                      </c:pt>
                      <c:pt idx="10" c:formatCode="0.00_);[Red]\(0.00\)">
                        <c:v>Tomatoes</c:v>
                      </c:pt>
                      <c:pt idx="11" c:formatCode="0.00_);[Red]\(0.00\)">
                        <c:v>Cheese</c:v>
                      </c:pt>
                      <c:pt idx="12" c:formatCode="0.00_);[Red]\(0.00\)">
                        <c:v>Yogurt</c:v>
                      </c:pt>
                      <c:pt idx="13" c:formatCode="0.00_);[Red]\(0.00\)">
                        <c:v>Spinach</c:v>
                      </c:pt>
                      <c:pt idx="14" c:formatCode="0.00_);[Red]\(0.00\)">
                        <c:v>Beef</c:v>
                      </c:pt>
                      <c:pt idx="15" c:formatCode="0.00_);[Red]\(0.00\)">
                        <c:v>Oranges</c:v>
                      </c:pt>
                      <c:pt idx="16" c:formatCode="0.00_);[Red]\(0.00\)">
                        <c:v>Grapes</c:v>
                      </c:pt>
                      <c:pt idx="17" c:formatCode="0.00_);[Red]\(0.00\)">
                        <c:v>Lettuce</c:v>
                      </c:pt>
                      <c:pt idx="18" c:formatCode="0.00_);[Red]\(0.00\)">
                        <c:v>Carrots</c:v>
                      </c:pt>
                      <c:pt idx="19" c:formatCode="0.00_);[Red]\(0.00\)">
                        <c:v>Peas</c:v>
                      </c:pt>
                      <c:pt idx="20" c:formatCode="0.00_);[Red]\(0.00\)">
                        <c:v>Beans</c:v>
                      </c:pt>
                      <c:pt idx="21" c:formatCode="0.00_);[Red]\(0.00\)">
                        <c:v>Pasta</c:v>
                      </c:pt>
                      <c:pt idx="22" c:formatCode="0.00_);[Red]\(0.00\)">
                        <c:v>Lentils</c:v>
                      </c:pt>
                      <c:pt idx="23" c:formatCode="0.00_);[Red]\(0.00\)">
                        <c:v>Watermelon</c:v>
                      </c:pt>
                      <c:pt idx="24" c:formatCode="0.00_);[Red]\(0.00\)">
                        <c:v>Cucumber</c:v>
                      </c:pt>
                      <c:pt idx="25" c:formatCode="0.00_);[Red]\(0.00\)">
                        <c:v>Pork</c:v>
                      </c:pt>
                      <c:pt idx="26" c:formatCode="0.00_);[Red]\(0.00\)">
                        <c:v>Peaches</c:v>
                      </c:pt>
                      <c:pt idx="27" c:formatCode="0.00_);[Red]\(0.00\)">
                        <c:v>Strawberries</c:v>
                      </c:pt>
                      <c:pt idx="28" c:formatCode="0.00_);[Red]\(0.00\)">
                        <c:v>Butter</c:v>
                      </c:pt>
                      <c:pt idx="29" c:formatCode="0.00_);[Red]\(0.00\)">
                        <c:v>Oil</c:v>
                      </c:pt>
                      <c:pt idx="30" c:formatCode="0.00_);[Red]\(0.00\)">
                        <c:v>Sugar</c:v>
                      </c:pt>
                      <c:pt idx="31" c:formatCode="0.00_);[Red]\(0.00\)">
                        <c:v>Salt</c:v>
                      </c:pt>
                      <c:pt idx="32" c:formatCode="0.00_);[Red]\(0.00\)">
                        <c:v>Mushrooms</c:v>
                      </c:pt>
                      <c:pt idx="33" c:formatCode="0.00_);[Red]\(0.00\)">
                        <c:v>Corn</c:v>
                      </c:pt>
                      <c:pt idx="34" c:formatCode="0.00_);[Red]\(0.00\)">
                        <c:v>Zucchini</c:v>
                      </c:pt>
                      <c:pt idx="35" c:formatCode="0.00_);[Red]\(0.00\)">
                        <c:v>Pineapple</c:v>
                      </c:pt>
                      <c:pt idx="36" c:formatCode="0.00_);[Red]\(0.00\)">
                        <c:v>Chocolate</c:v>
                      </c:pt>
                      <c:pt idx="37" c:formatCode="0.00_);[Red]\(0.00\)">
                        <c:v>Ice Cream</c:v>
                      </c:pt>
                      <c:pt idx="38" c:formatCode="0.00_);[Red]\(0.00\)">
                        <c:v>Coffee</c:v>
                      </c:pt>
                      <c:pt idx="39" c:formatCode="0.00_);[Red]\(0.00\)">
                        <c:v>Tea</c:v>
                      </c:pt>
                      <c:pt idx="40" c:formatCode="0.00_);[Red]\(0.00\)">
                        <c:v>Flour</c:v>
                      </c:pt>
                      <c:pt idx="41" c:formatCode="0.00_);[Red]\(0.00\)">
                        <c:v>Baking Powder</c:v>
                      </c:pt>
                      <c:pt idx="42" c:formatCode="0.00_);[Red]\(0.00\)">
                        <c:v>Honey</c:v>
                      </c:pt>
                      <c:pt idx="43" c:formatCode="0.00_);[Red]\(0.00\)">
                        <c:v>Nuts</c:v>
                      </c:pt>
                      <c:pt idx="44" c:formatCode="0.00_);[Red]\(0.00\)">
                        <c:v>Seeds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{2,5,3,2,4,6,12,3,2,4,5,1,2,1,3,2,1.5,1,3,2,3,4,2,5,3,4,2,1.5,1,3,2,1,1,2,1.5,2,1,2,1,0.5,4,0.5,1,1.5,1}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2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4</c:v>
                      </c:pt>
                      <c:pt idx="5">
                        <c:v>6</c:v>
                      </c:pt>
                      <c:pt idx="6">
                        <c:v>12</c:v>
                      </c:pt>
                      <c:pt idx="7">
                        <c:v>3</c:v>
                      </c:pt>
                      <c:pt idx="8">
                        <c:v>2</c:v>
                      </c:pt>
                      <c:pt idx="9">
                        <c:v>4</c:v>
                      </c:pt>
                      <c:pt idx="10">
                        <c:v>5</c:v>
                      </c:pt>
                      <c:pt idx="11">
                        <c:v>1</c:v>
                      </c:pt>
                      <c:pt idx="12">
                        <c:v>2</c:v>
                      </c:pt>
                      <c:pt idx="13">
                        <c:v>1</c:v>
                      </c:pt>
                      <c:pt idx="14">
                        <c:v>3</c:v>
                      </c:pt>
                      <c:pt idx="15">
                        <c:v>2</c:v>
                      </c:pt>
                      <c:pt idx="16">
                        <c:v>1.5</c:v>
                      </c:pt>
                      <c:pt idx="17">
                        <c:v>1</c:v>
                      </c:pt>
                      <c:pt idx="18">
                        <c:v>3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4</c:v>
                      </c:pt>
                      <c:pt idx="22">
                        <c:v>2</c:v>
                      </c:pt>
                      <c:pt idx="23">
                        <c:v>5</c:v>
                      </c:pt>
                      <c:pt idx="24">
                        <c:v>3</c:v>
                      </c:pt>
                      <c:pt idx="25">
                        <c:v>4</c:v>
                      </c:pt>
                      <c:pt idx="26">
                        <c:v>2</c:v>
                      </c:pt>
                      <c:pt idx="27">
                        <c:v>1.5</c:v>
                      </c:pt>
                      <c:pt idx="28">
                        <c:v>1</c:v>
                      </c:pt>
                      <c:pt idx="29">
                        <c:v>3</c:v>
                      </c:pt>
                      <c:pt idx="30">
                        <c:v>2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1.5</c:v>
                      </c:pt>
                      <c:pt idx="35">
                        <c:v>2</c:v>
                      </c:pt>
                      <c:pt idx="36">
                        <c:v>1</c:v>
                      </c:pt>
                      <c:pt idx="37">
                        <c:v>2</c:v>
                      </c:pt>
                      <c:pt idx="38">
                        <c:v>1</c:v>
                      </c:pt>
                      <c:pt idx="39">
                        <c:v>0.5</c:v>
                      </c:pt>
                      <c:pt idx="40">
                        <c:v>4</c:v>
                      </c:pt>
                      <c:pt idx="41">
                        <c:v>0.5</c:v>
                      </c:pt>
                      <c:pt idx="42">
                        <c:v>1</c:v>
                      </c:pt>
                      <c:pt idx="43">
                        <c:v>1.5</c:v>
                      </c:pt>
                      <c:pt idx="44">
                        <c:v>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'Food Waste Analysis'!$C$1</c15:sqref>
                        </c15:formulaRef>
                      </c:ext>
                    </c:extLst>
                    <c:strCache>
                      <c:ptCount val="1"/>
                      <c:pt idx="0">
                        <c:v>Consumed Quantity (kg)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'Food Waste Analysis'!$A$2:$A$46</c15:sqref>
                        </c15:formulaRef>
                      </c:ext>
                    </c:extLst>
                    <c:strCache>
                      <c:ptCount val="45"/>
                      <c:pt idx="0" c:formatCode="0.00_);[Red]\(0.00\)">
                        <c:v>Milk</c:v>
                      </c:pt>
                      <c:pt idx="1" c:formatCode="0.00_);[Red]\(0.00\)">
                        <c:v>Bread</c:v>
                      </c:pt>
                      <c:pt idx="2" c:formatCode="0.00_);[Red]\(0.00\)">
                        <c:v>Apples</c:v>
                      </c:pt>
                      <c:pt idx="3" c:formatCode="0.00_);[Red]\(0.00\)">
                        <c:v>Chicken</c:v>
                      </c:pt>
                      <c:pt idx="4" c:formatCode="0.00_);[Red]\(0.00\)">
                        <c:v>Rice</c:v>
                      </c:pt>
                      <c:pt idx="5" c:formatCode="0.00_);[Red]\(0.00\)">
                        <c:v>Potatoes</c:v>
                      </c:pt>
                      <c:pt idx="6" c:formatCode="0.00_);[Red]\(0.00\)">
                        <c:v>Eggs</c:v>
                      </c:pt>
                      <c:pt idx="7" c:formatCode="0.00_);[Red]\(0.00\)">
                        <c:v>Fish</c:v>
                      </c:pt>
                      <c:pt idx="8" c:formatCode="0.00_);[Red]\(0.00\)">
                        <c:v>Bananas</c:v>
                      </c:pt>
                      <c:pt idx="9" c:formatCode="0.00_);[Red]\(0.00\)">
                        <c:v>Onions</c:v>
                      </c:pt>
                      <c:pt idx="10" c:formatCode="0.00_);[Red]\(0.00\)">
                        <c:v>Tomatoes</c:v>
                      </c:pt>
                      <c:pt idx="11" c:formatCode="0.00_);[Red]\(0.00\)">
                        <c:v>Cheese</c:v>
                      </c:pt>
                      <c:pt idx="12" c:formatCode="0.00_);[Red]\(0.00\)">
                        <c:v>Yogurt</c:v>
                      </c:pt>
                      <c:pt idx="13" c:formatCode="0.00_);[Red]\(0.00\)">
                        <c:v>Spinach</c:v>
                      </c:pt>
                      <c:pt idx="14" c:formatCode="0.00_);[Red]\(0.00\)">
                        <c:v>Beef</c:v>
                      </c:pt>
                      <c:pt idx="15" c:formatCode="0.00_);[Red]\(0.00\)">
                        <c:v>Oranges</c:v>
                      </c:pt>
                      <c:pt idx="16" c:formatCode="0.00_);[Red]\(0.00\)">
                        <c:v>Grapes</c:v>
                      </c:pt>
                      <c:pt idx="17" c:formatCode="0.00_);[Red]\(0.00\)">
                        <c:v>Lettuce</c:v>
                      </c:pt>
                      <c:pt idx="18" c:formatCode="0.00_);[Red]\(0.00\)">
                        <c:v>Carrots</c:v>
                      </c:pt>
                      <c:pt idx="19" c:formatCode="0.00_);[Red]\(0.00\)">
                        <c:v>Peas</c:v>
                      </c:pt>
                      <c:pt idx="20" c:formatCode="0.00_);[Red]\(0.00\)">
                        <c:v>Beans</c:v>
                      </c:pt>
                      <c:pt idx="21" c:formatCode="0.00_);[Red]\(0.00\)">
                        <c:v>Pasta</c:v>
                      </c:pt>
                      <c:pt idx="22" c:formatCode="0.00_);[Red]\(0.00\)">
                        <c:v>Lentils</c:v>
                      </c:pt>
                      <c:pt idx="23" c:formatCode="0.00_);[Red]\(0.00\)">
                        <c:v>Watermelon</c:v>
                      </c:pt>
                      <c:pt idx="24" c:formatCode="0.00_);[Red]\(0.00\)">
                        <c:v>Cucumber</c:v>
                      </c:pt>
                      <c:pt idx="25" c:formatCode="0.00_);[Red]\(0.00\)">
                        <c:v>Pork</c:v>
                      </c:pt>
                      <c:pt idx="26" c:formatCode="0.00_);[Red]\(0.00\)">
                        <c:v>Peaches</c:v>
                      </c:pt>
                      <c:pt idx="27" c:formatCode="0.00_);[Red]\(0.00\)">
                        <c:v>Strawberries</c:v>
                      </c:pt>
                      <c:pt idx="28" c:formatCode="0.00_);[Red]\(0.00\)">
                        <c:v>Butter</c:v>
                      </c:pt>
                      <c:pt idx="29" c:formatCode="0.00_);[Red]\(0.00\)">
                        <c:v>Oil</c:v>
                      </c:pt>
                      <c:pt idx="30" c:formatCode="0.00_);[Red]\(0.00\)">
                        <c:v>Sugar</c:v>
                      </c:pt>
                      <c:pt idx="31" c:formatCode="0.00_);[Red]\(0.00\)">
                        <c:v>Salt</c:v>
                      </c:pt>
                      <c:pt idx="32" c:formatCode="0.00_);[Red]\(0.00\)">
                        <c:v>Mushrooms</c:v>
                      </c:pt>
                      <c:pt idx="33" c:formatCode="0.00_);[Red]\(0.00\)">
                        <c:v>Corn</c:v>
                      </c:pt>
                      <c:pt idx="34" c:formatCode="0.00_);[Red]\(0.00\)">
                        <c:v>Zucchini</c:v>
                      </c:pt>
                      <c:pt idx="35" c:formatCode="0.00_);[Red]\(0.00\)">
                        <c:v>Pineapple</c:v>
                      </c:pt>
                      <c:pt idx="36" c:formatCode="0.00_);[Red]\(0.00\)">
                        <c:v>Chocolate</c:v>
                      </c:pt>
                      <c:pt idx="37" c:formatCode="0.00_);[Red]\(0.00\)">
                        <c:v>Ice Cream</c:v>
                      </c:pt>
                      <c:pt idx="38" c:formatCode="0.00_);[Red]\(0.00\)">
                        <c:v>Coffee</c:v>
                      </c:pt>
                      <c:pt idx="39" c:formatCode="0.00_);[Red]\(0.00\)">
                        <c:v>Tea</c:v>
                      </c:pt>
                      <c:pt idx="40" c:formatCode="0.00_);[Red]\(0.00\)">
                        <c:v>Flour</c:v>
                      </c:pt>
                      <c:pt idx="41" c:formatCode="0.00_);[Red]\(0.00\)">
                        <c:v>Baking Powder</c:v>
                      </c:pt>
                      <c:pt idx="42" c:formatCode="0.00_);[Red]\(0.00\)">
                        <c:v>Honey</c:v>
                      </c:pt>
                      <c:pt idx="43" c:formatCode="0.00_);[Red]\(0.00\)">
                        <c:v>Nuts</c:v>
                      </c:pt>
                      <c:pt idx="44" c:formatCode="0.00_);[Red]\(0.00\)">
                        <c:v>Seeds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{1.5,4,2,1.5,3,5,10,2.5,1.5,3,4.5,0.8,1.8,0.8,2.7,1.8,1.2,0.7,2.5,1.5,2.8,3.5,1.8,4.5,2.5,3.8,1.8,1.2,0.8,2.8,1.8,0.9,0.8,1.5,1.2,1.8,0.9,1.8,0.9,0.4,3.8,0.4,0.9,1.4,0.8}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1.5</c:v>
                      </c:pt>
                      <c:pt idx="1">
                        <c:v>4</c:v>
                      </c:pt>
                      <c:pt idx="2">
                        <c:v>2</c:v>
                      </c:pt>
                      <c:pt idx="3">
                        <c:v>1.5</c:v>
                      </c:pt>
                      <c:pt idx="4">
                        <c:v>3</c:v>
                      </c:pt>
                      <c:pt idx="5">
                        <c:v>5</c:v>
                      </c:pt>
                      <c:pt idx="6">
                        <c:v>10</c:v>
                      </c:pt>
                      <c:pt idx="7">
                        <c:v>2.5</c:v>
                      </c:pt>
                      <c:pt idx="8">
                        <c:v>1.5</c:v>
                      </c:pt>
                      <c:pt idx="9">
                        <c:v>3</c:v>
                      </c:pt>
                      <c:pt idx="10">
                        <c:v>4.5</c:v>
                      </c:pt>
                      <c:pt idx="11">
                        <c:v>0.8</c:v>
                      </c:pt>
                      <c:pt idx="12">
                        <c:v>1.8</c:v>
                      </c:pt>
                      <c:pt idx="13">
                        <c:v>0.8</c:v>
                      </c:pt>
                      <c:pt idx="14">
                        <c:v>2.7</c:v>
                      </c:pt>
                      <c:pt idx="15">
                        <c:v>1.8</c:v>
                      </c:pt>
                      <c:pt idx="16">
                        <c:v>1.2</c:v>
                      </c:pt>
                      <c:pt idx="17">
                        <c:v>0.7</c:v>
                      </c:pt>
                      <c:pt idx="18">
                        <c:v>2.5</c:v>
                      </c:pt>
                      <c:pt idx="19">
                        <c:v>1.5</c:v>
                      </c:pt>
                      <c:pt idx="20">
                        <c:v>2.8</c:v>
                      </c:pt>
                      <c:pt idx="21">
                        <c:v>3.5</c:v>
                      </c:pt>
                      <c:pt idx="22">
                        <c:v>1.8</c:v>
                      </c:pt>
                      <c:pt idx="23">
                        <c:v>4.5</c:v>
                      </c:pt>
                      <c:pt idx="24">
                        <c:v>2.5</c:v>
                      </c:pt>
                      <c:pt idx="25">
                        <c:v>3.8</c:v>
                      </c:pt>
                      <c:pt idx="26">
                        <c:v>1.8</c:v>
                      </c:pt>
                      <c:pt idx="27">
                        <c:v>1.2</c:v>
                      </c:pt>
                      <c:pt idx="28">
                        <c:v>0.8</c:v>
                      </c:pt>
                      <c:pt idx="29">
                        <c:v>2.8</c:v>
                      </c:pt>
                      <c:pt idx="30">
                        <c:v>1.8</c:v>
                      </c:pt>
                      <c:pt idx="31">
                        <c:v>0.9</c:v>
                      </c:pt>
                      <c:pt idx="32">
                        <c:v>0.8</c:v>
                      </c:pt>
                      <c:pt idx="33">
                        <c:v>1.5</c:v>
                      </c:pt>
                      <c:pt idx="34">
                        <c:v>1.2</c:v>
                      </c:pt>
                      <c:pt idx="35">
                        <c:v>1.8</c:v>
                      </c:pt>
                      <c:pt idx="36">
                        <c:v>0.9</c:v>
                      </c:pt>
                      <c:pt idx="37">
                        <c:v>1.8</c:v>
                      </c:pt>
                      <c:pt idx="38">
                        <c:v>0.9</c:v>
                      </c:pt>
                      <c:pt idx="39">
                        <c:v>0.4</c:v>
                      </c:pt>
                      <c:pt idx="40">
                        <c:v>3.8</c:v>
                      </c:pt>
                      <c:pt idx="41">
                        <c:v>0.4</c:v>
                      </c:pt>
                      <c:pt idx="42">
                        <c:v>0.9</c:v>
                      </c:pt>
                      <c:pt idx="43">
                        <c:v>1.4</c:v>
                      </c:pt>
                      <c:pt idx="44">
                        <c:v>0.8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'Food Waste Analysis'!$D$1</c15:sqref>
                        </c15:formulaRef>
                      </c:ext>
                    </c:extLst>
                    <c:strCache>
                      <c:ptCount val="1"/>
                      <c:pt idx="0">
                        <c:v>Wasted Quantity (kg)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'Food Waste Analysis'!$A$2:$A$46</c15:sqref>
                        </c15:formulaRef>
                      </c:ext>
                    </c:extLst>
                    <c:strCache>
                      <c:ptCount val="45"/>
                      <c:pt idx="0" c:formatCode="0.00_);[Red]\(0.00\)">
                        <c:v>Milk</c:v>
                      </c:pt>
                      <c:pt idx="1" c:formatCode="0.00_);[Red]\(0.00\)">
                        <c:v>Bread</c:v>
                      </c:pt>
                      <c:pt idx="2" c:formatCode="0.00_);[Red]\(0.00\)">
                        <c:v>Apples</c:v>
                      </c:pt>
                      <c:pt idx="3" c:formatCode="0.00_);[Red]\(0.00\)">
                        <c:v>Chicken</c:v>
                      </c:pt>
                      <c:pt idx="4" c:formatCode="0.00_);[Red]\(0.00\)">
                        <c:v>Rice</c:v>
                      </c:pt>
                      <c:pt idx="5" c:formatCode="0.00_);[Red]\(0.00\)">
                        <c:v>Potatoes</c:v>
                      </c:pt>
                      <c:pt idx="6" c:formatCode="0.00_);[Red]\(0.00\)">
                        <c:v>Eggs</c:v>
                      </c:pt>
                      <c:pt idx="7" c:formatCode="0.00_);[Red]\(0.00\)">
                        <c:v>Fish</c:v>
                      </c:pt>
                      <c:pt idx="8" c:formatCode="0.00_);[Red]\(0.00\)">
                        <c:v>Bananas</c:v>
                      </c:pt>
                      <c:pt idx="9" c:formatCode="0.00_);[Red]\(0.00\)">
                        <c:v>Onions</c:v>
                      </c:pt>
                      <c:pt idx="10" c:formatCode="0.00_);[Red]\(0.00\)">
                        <c:v>Tomatoes</c:v>
                      </c:pt>
                      <c:pt idx="11" c:formatCode="0.00_);[Red]\(0.00\)">
                        <c:v>Cheese</c:v>
                      </c:pt>
                      <c:pt idx="12" c:formatCode="0.00_);[Red]\(0.00\)">
                        <c:v>Yogurt</c:v>
                      </c:pt>
                      <c:pt idx="13" c:formatCode="0.00_);[Red]\(0.00\)">
                        <c:v>Spinach</c:v>
                      </c:pt>
                      <c:pt idx="14" c:formatCode="0.00_);[Red]\(0.00\)">
                        <c:v>Beef</c:v>
                      </c:pt>
                      <c:pt idx="15" c:formatCode="0.00_);[Red]\(0.00\)">
                        <c:v>Oranges</c:v>
                      </c:pt>
                      <c:pt idx="16" c:formatCode="0.00_);[Red]\(0.00\)">
                        <c:v>Grapes</c:v>
                      </c:pt>
                      <c:pt idx="17" c:formatCode="0.00_);[Red]\(0.00\)">
                        <c:v>Lettuce</c:v>
                      </c:pt>
                      <c:pt idx="18" c:formatCode="0.00_);[Red]\(0.00\)">
                        <c:v>Carrots</c:v>
                      </c:pt>
                      <c:pt idx="19" c:formatCode="0.00_);[Red]\(0.00\)">
                        <c:v>Peas</c:v>
                      </c:pt>
                      <c:pt idx="20" c:formatCode="0.00_);[Red]\(0.00\)">
                        <c:v>Beans</c:v>
                      </c:pt>
                      <c:pt idx="21" c:formatCode="0.00_);[Red]\(0.00\)">
                        <c:v>Pasta</c:v>
                      </c:pt>
                      <c:pt idx="22" c:formatCode="0.00_);[Red]\(0.00\)">
                        <c:v>Lentils</c:v>
                      </c:pt>
                      <c:pt idx="23" c:formatCode="0.00_);[Red]\(0.00\)">
                        <c:v>Watermelon</c:v>
                      </c:pt>
                      <c:pt idx="24" c:formatCode="0.00_);[Red]\(0.00\)">
                        <c:v>Cucumber</c:v>
                      </c:pt>
                      <c:pt idx="25" c:formatCode="0.00_);[Red]\(0.00\)">
                        <c:v>Pork</c:v>
                      </c:pt>
                      <c:pt idx="26" c:formatCode="0.00_);[Red]\(0.00\)">
                        <c:v>Peaches</c:v>
                      </c:pt>
                      <c:pt idx="27" c:formatCode="0.00_);[Red]\(0.00\)">
                        <c:v>Strawberries</c:v>
                      </c:pt>
                      <c:pt idx="28" c:formatCode="0.00_);[Red]\(0.00\)">
                        <c:v>Butter</c:v>
                      </c:pt>
                      <c:pt idx="29" c:formatCode="0.00_);[Red]\(0.00\)">
                        <c:v>Oil</c:v>
                      </c:pt>
                      <c:pt idx="30" c:formatCode="0.00_);[Red]\(0.00\)">
                        <c:v>Sugar</c:v>
                      </c:pt>
                      <c:pt idx="31" c:formatCode="0.00_);[Red]\(0.00\)">
                        <c:v>Salt</c:v>
                      </c:pt>
                      <c:pt idx="32" c:formatCode="0.00_);[Red]\(0.00\)">
                        <c:v>Mushrooms</c:v>
                      </c:pt>
                      <c:pt idx="33" c:formatCode="0.00_);[Red]\(0.00\)">
                        <c:v>Corn</c:v>
                      </c:pt>
                      <c:pt idx="34" c:formatCode="0.00_);[Red]\(0.00\)">
                        <c:v>Zucchini</c:v>
                      </c:pt>
                      <c:pt idx="35" c:formatCode="0.00_);[Red]\(0.00\)">
                        <c:v>Pineapple</c:v>
                      </c:pt>
                      <c:pt idx="36" c:formatCode="0.00_);[Red]\(0.00\)">
                        <c:v>Chocolate</c:v>
                      </c:pt>
                      <c:pt idx="37" c:formatCode="0.00_);[Red]\(0.00\)">
                        <c:v>Ice Cream</c:v>
                      </c:pt>
                      <c:pt idx="38" c:formatCode="0.00_);[Red]\(0.00\)">
                        <c:v>Coffee</c:v>
                      </c:pt>
                      <c:pt idx="39" c:formatCode="0.00_);[Red]\(0.00\)">
                        <c:v>Tea</c:v>
                      </c:pt>
                      <c:pt idx="40" c:formatCode="0.00_);[Red]\(0.00\)">
                        <c:v>Flour</c:v>
                      </c:pt>
                      <c:pt idx="41" c:formatCode="0.00_);[Red]\(0.00\)">
                        <c:v>Baking Powder</c:v>
                      </c:pt>
                      <c:pt idx="42" c:formatCode="0.00_);[Red]\(0.00\)">
                        <c:v>Honey</c:v>
                      </c:pt>
                      <c:pt idx="43" c:formatCode="0.00_);[Red]\(0.00\)">
                        <c:v>Nuts</c:v>
                      </c:pt>
                      <c:pt idx="44" c:formatCode="0.00_);[Red]\(0.00\)">
                        <c:v>Seeds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{0.5,1,1,0.5,1,1,2,0.5,0.5,1,0.5,0.2,0.2,0.2,0.3,0.2,0.3,0.3,0.5,0.5,0.2,0.5,0.2,0.5,0.5,0.2,0.2,0.3,0.2,0.2,0.2,0.1,0.2,0.5,0.3,0.2,0.1,0.2,0.1,0.1,0.2,0.1,0.1,0.1,0.2}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0.5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0.5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0.5</c:v>
                      </c:pt>
                      <c:pt idx="8">
                        <c:v>0.5</c:v>
                      </c:pt>
                      <c:pt idx="9">
                        <c:v>1</c:v>
                      </c:pt>
                      <c:pt idx="10">
                        <c:v>0.5</c:v>
                      </c:pt>
                      <c:pt idx="11">
                        <c:v>0.2</c:v>
                      </c:pt>
                      <c:pt idx="12">
                        <c:v>0.2</c:v>
                      </c:pt>
                      <c:pt idx="13">
                        <c:v>0.2</c:v>
                      </c:pt>
                      <c:pt idx="14">
                        <c:v>0.3</c:v>
                      </c:pt>
                      <c:pt idx="15">
                        <c:v>0.2</c:v>
                      </c:pt>
                      <c:pt idx="16">
                        <c:v>0.3</c:v>
                      </c:pt>
                      <c:pt idx="17">
                        <c:v>0.3</c:v>
                      </c:pt>
                      <c:pt idx="18">
                        <c:v>0.5</c:v>
                      </c:pt>
                      <c:pt idx="19">
                        <c:v>0.5</c:v>
                      </c:pt>
                      <c:pt idx="20">
                        <c:v>0.2</c:v>
                      </c:pt>
                      <c:pt idx="21">
                        <c:v>0.5</c:v>
                      </c:pt>
                      <c:pt idx="22">
                        <c:v>0.2</c:v>
                      </c:pt>
                      <c:pt idx="23">
                        <c:v>0.5</c:v>
                      </c:pt>
                      <c:pt idx="24">
                        <c:v>0.5</c:v>
                      </c:pt>
                      <c:pt idx="25">
                        <c:v>0.2</c:v>
                      </c:pt>
                      <c:pt idx="26">
                        <c:v>0.2</c:v>
                      </c:pt>
                      <c:pt idx="27">
                        <c:v>0.3</c:v>
                      </c:pt>
                      <c:pt idx="28">
                        <c:v>0.2</c:v>
                      </c:pt>
                      <c:pt idx="29">
                        <c:v>0.2</c:v>
                      </c:pt>
                      <c:pt idx="30">
                        <c:v>0.2</c:v>
                      </c:pt>
                      <c:pt idx="31">
                        <c:v>0.1</c:v>
                      </c:pt>
                      <c:pt idx="32">
                        <c:v>0.2</c:v>
                      </c:pt>
                      <c:pt idx="33">
                        <c:v>0.5</c:v>
                      </c:pt>
                      <c:pt idx="34">
                        <c:v>0.3</c:v>
                      </c:pt>
                      <c:pt idx="35">
                        <c:v>0.2</c:v>
                      </c:pt>
                      <c:pt idx="36">
                        <c:v>0.1</c:v>
                      </c:pt>
                      <c:pt idx="37">
                        <c:v>0.2</c:v>
                      </c:pt>
                      <c:pt idx="38">
                        <c:v>0.1</c:v>
                      </c:pt>
                      <c:pt idx="39">
                        <c:v>0.1</c:v>
                      </c:pt>
                      <c:pt idx="40">
                        <c:v>0.2</c:v>
                      </c:pt>
                      <c:pt idx="41">
                        <c:v>0.1</c:v>
                      </c:pt>
                      <c:pt idx="42">
                        <c:v>0.1</c:v>
                      </c:pt>
                      <c:pt idx="43">
                        <c:v>0.1</c:v>
                      </c:pt>
                      <c:pt idx="44">
                        <c:v>0.2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998539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2438567"/>
        <c:crosses val="autoZero"/>
        <c:auto val="1"/>
        <c:lblAlgn val="ctr"/>
        <c:lblOffset val="100"/>
        <c:noMultiLvlLbl val="0"/>
      </c:catAx>
      <c:valAx>
        <c:axId val="472438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98539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f84222c-3793-4f20-b14c-bafab1dc8ec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wastage  percentage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5"/>
          <c:order val="5"/>
          <c:tx>
            <c:strRef>
              <c:f>'Food Waste Analysis'!$F$1</c:f>
              <c:strCache>
                <c:ptCount val="1"/>
                <c:pt idx="0">
                  <c:v>wastage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  <a:lumOff val="2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  <a:lumOff val="2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  <a:lumOff val="2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0">
                    <a:schemeClr val="accent1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</a:schemeClr>
                    </a:gs>
                    <a:gs pos="100000">
                      <a:schemeClr val="accent1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0">
                    <a:schemeClr val="accent2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</a:schemeClr>
                    </a:gs>
                    <a:gs pos="100000">
                      <a:schemeClr val="accent2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0"/>
            <c:bubble3D val="0"/>
            <c:spPr>
              <a:gradFill>
                <a:gsLst>
                  <a:gs pos="0">
                    <a:schemeClr val="accent3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</a:schemeClr>
                    </a:gs>
                    <a:gs pos="100000">
                      <a:schemeClr val="accent3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1"/>
            <c:bubble3D val="0"/>
            <c:spPr>
              <a:gradFill>
                <a:gsLst>
                  <a:gs pos="0">
                    <a:schemeClr val="accent4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80000"/>
                      </a:schemeClr>
                    </a:gs>
                    <a:gs pos="100000">
                      <a:schemeClr val="accent4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2"/>
            <c:bubble3D val="0"/>
            <c:spPr>
              <a:gradFill>
                <a:gsLst>
                  <a:gs pos="0">
                    <a:schemeClr val="accent5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80000"/>
                      </a:schemeClr>
                    </a:gs>
                    <a:gs pos="100000">
                      <a:schemeClr val="accent5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3"/>
            <c:bubble3D val="0"/>
            <c:spPr>
              <a:gradFill>
                <a:gsLst>
                  <a:gs pos="0">
                    <a:schemeClr val="accent6">
                      <a:lumMod val="8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80000"/>
                      </a:schemeClr>
                    </a:gs>
                    <a:gs pos="100000">
                      <a:schemeClr val="accent6">
                        <a:lumMod val="8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4"/>
            <c:bubble3D val="0"/>
            <c:spPr>
              <a:gradFill>
                <a:gsLst>
                  <a:gs pos="0">
                    <a:schemeClr val="accent1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Off val="4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5"/>
            <c:bubble3D val="0"/>
            <c:spPr>
              <a:gradFill>
                <a:gsLst>
                  <a:gs pos="0">
                    <a:schemeClr val="accent2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Off val="4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6"/>
            <c:bubble3D val="0"/>
            <c:spPr>
              <a:gradFill>
                <a:gsLst>
                  <a:gs pos="0">
                    <a:schemeClr val="accent3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Off val="4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7"/>
            <c:bubble3D val="0"/>
            <c:spPr>
              <a:gradFill>
                <a:gsLst>
                  <a:gs pos="0">
                    <a:schemeClr val="accent4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  <a:lumOff val="4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8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Off val="4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9"/>
            <c:bubble3D val="0"/>
            <c:spPr>
              <a:gradFill>
                <a:gsLst>
                  <a:gs pos="0">
                    <a:schemeClr val="accent6">
                      <a:lumMod val="60000"/>
                      <a:lumOff val="4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  <a:lumOff val="4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0"/>
            <c:bubble3D val="0"/>
            <c:spPr>
              <a:gradFill>
                <a:gsLst>
                  <a:gs pos="0">
                    <a:schemeClr val="accent1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50000"/>
                      </a:schemeClr>
                    </a:gs>
                    <a:gs pos="100000">
                      <a:schemeClr val="accent1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1"/>
            <c:bubble3D val="0"/>
            <c:spPr>
              <a:gradFill>
                <a:gsLst>
                  <a:gs pos="0">
                    <a:schemeClr val="accent2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50000"/>
                      </a:schemeClr>
                    </a:gs>
                    <a:gs pos="100000">
                      <a:schemeClr val="accent2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2"/>
            <c:bubble3D val="0"/>
            <c:spPr>
              <a:gradFill>
                <a:gsLst>
                  <a:gs pos="0">
                    <a:schemeClr val="accent3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50000"/>
                      </a:schemeClr>
                    </a:gs>
                    <a:gs pos="100000">
                      <a:schemeClr val="accent3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3"/>
            <c:bubble3D val="0"/>
            <c:spPr>
              <a:gradFill>
                <a:gsLst>
                  <a:gs pos="0">
                    <a:schemeClr val="accent4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50000"/>
                      </a:schemeClr>
                    </a:gs>
                    <a:gs pos="100000">
                      <a:schemeClr val="accent4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4"/>
            <c:bubble3D val="0"/>
            <c:spPr>
              <a:gradFill>
                <a:gsLst>
                  <a:gs pos="0">
                    <a:schemeClr val="accent5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100000">
                      <a:schemeClr val="accent5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5"/>
            <c:bubble3D val="0"/>
            <c:spPr>
              <a:gradFill>
                <a:gsLst>
                  <a:gs pos="0">
                    <a:schemeClr val="accent6">
                      <a:lumMod val="5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50000"/>
                      </a:schemeClr>
                    </a:gs>
                    <a:gs pos="100000">
                      <a:schemeClr val="accent6">
                        <a:lumMod val="5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6"/>
            <c:bubble3D val="0"/>
            <c:spPr>
              <a:gradFill>
                <a:gsLst>
                  <a:gs pos="0">
                    <a:schemeClr val="accent1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  <a:lumOff val="3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7"/>
            <c:bubble3D val="0"/>
            <c:spPr>
              <a:gradFill>
                <a:gsLst>
                  <a:gs pos="0">
                    <a:schemeClr val="accent2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  <a:lumOff val="3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8"/>
            <c:bubble3D val="0"/>
            <c:spPr>
              <a:gradFill>
                <a:gsLst>
                  <a:gs pos="0">
                    <a:schemeClr val="accent3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  <a:lumOff val="3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9"/>
            <c:bubble3D val="0"/>
            <c:spPr>
              <a:gradFill>
                <a:gsLst>
                  <a:gs pos="0">
                    <a:schemeClr val="accent4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0000"/>
                        <a:lumOff val="3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0"/>
            <c:bubble3D val="0"/>
            <c:spPr>
              <a:gradFill>
                <a:gsLst>
                  <a:gs pos="0">
                    <a:schemeClr val="accent5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0000"/>
                        <a:lumOff val="30000"/>
                      </a:schemeClr>
                    </a:gs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1"/>
            <c:bubble3D val="0"/>
            <c:spPr>
              <a:gradFill>
                <a:gsLst>
                  <a:gs pos="0">
                    <a:schemeClr val="accent6">
                      <a:lumMod val="70000"/>
                      <a:lumOff val="3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0000"/>
                        <a:lumOff val="30000"/>
                      </a:schemeClr>
                    </a:gs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2"/>
            <c:bubble3D val="0"/>
            <c:spPr>
              <a:gradFill>
                <a:gsLst>
                  <a:gs pos="0">
                    <a:schemeClr val="accent1">
                      <a:lumMod val="7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0000"/>
                      </a:schemeClr>
                    </a:gs>
                    <a:gs pos="100000">
                      <a:schemeClr val="accent1">
                        <a:lumMod val="7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3"/>
            <c:bubble3D val="0"/>
            <c:spPr>
              <a:gradFill>
                <a:gsLst>
                  <a:gs pos="0">
                    <a:schemeClr val="accent2">
                      <a:lumMod val="7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0000"/>
                      </a:schemeClr>
                    </a:gs>
                    <a:gs pos="100000">
                      <a:schemeClr val="accent2">
                        <a:lumMod val="7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4"/>
            <c:bubble3D val="0"/>
            <c:spPr>
              <a:gradFill>
                <a:gsLst>
                  <a:gs pos="0">
                    <a:schemeClr val="accent3">
                      <a:lumMod val="7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0000"/>
                      </a:schemeClr>
                    </a:gs>
                    <a:gs pos="100000">
                      <a:schemeClr val="accent3">
                        <a:lumMod val="7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'Food Waste Analysis'!$A$2:$A$46</c:f>
              <c:strCache>
                <c:ptCount val="45"/>
                <c:pt idx="0" c:formatCode="0.00_);[Red]\(0.00\)">
                  <c:v>Milk</c:v>
                </c:pt>
                <c:pt idx="1" c:formatCode="0.00_);[Red]\(0.00\)">
                  <c:v>Bread</c:v>
                </c:pt>
                <c:pt idx="2" c:formatCode="0.00_);[Red]\(0.00\)">
                  <c:v>Apples</c:v>
                </c:pt>
                <c:pt idx="3" c:formatCode="0.00_);[Red]\(0.00\)">
                  <c:v>Chicken</c:v>
                </c:pt>
                <c:pt idx="4" c:formatCode="0.00_);[Red]\(0.00\)">
                  <c:v>Rice</c:v>
                </c:pt>
                <c:pt idx="5" c:formatCode="0.00_);[Red]\(0.00\)">
                  <c:v>Potatoes</c:v>
                </c:pt>
                <c:pt idx="6" c:formatCode="0.00_);[Red]\(0.00\)">
                  <c:v>Eggs</c:v>
                </c:pt>
                <c:pt idx="7" c:formatCode="0.00_);[Red]\(0.00\)">
                  <c:v>Fish</c:v>
                </c:pt>
                <c:pt idx="8" c:formatCode="0.00_);[Red]\(0.00\)">
                  <c:v>Bananas</c:v>
                </c:pt>
                <c:pt idx="9" c:formatCode="0.00_);[Red]\(0.00\)">
                  <c:v>Onions</c:v>
                </c:pt>
                <c:pt idx="10" c:formatCode="0.00_);[Red]\(0.00\)">
                  <c:v>Tomatoes</c:v>
                </c:pt>
                <c:pt idx="11" c:formatCode="0.00_);[Red]\(0.00\)">
                  <c:v>Cheese</c:v>
                </c:pt>
                <c:pt idx="12" c:formatCode="0.00_);[Red]\(0.00\)">
                  <c:v>Yogurt</c:v>
                </c:pt>
                <c:pt idx="13" c:formatCode="0.00_);[Red]\(0.00\)">
                  <c:v>Spinach</c:v>
                </c:pt>
                <c:pt idx="14" c:formatCode="0.00_);[Red]\(0.00\)">
                  <c:v>Beef</c:v>
                </c:pt>
                <c:pt idx="15" c:formatCode="0.00_);[Red]\(0.00\)">
                  <c:v>Oranges</c:v>
                </c:pt>
                <c:pt idx="16" c:formatCode="0.00_);[Red]\(0.00\)">
                  <c:v>Grapes</c:v>
                </c:pt>
                <c:pt idx="17" c:formatCode="0.00_);[Red]\(0.00\)">
                  <c:v>Lettuce</c:v>
                </c:pt>
                <c:pt idx="18" c:formatCode="0.00_);[Red]\(0.00\)">
                  <c:v>Carrots</c:v>
                </c:pt>
                <c:pt idx="19" c:formatCode="0.00_);[Red]\(0.00\)">
                  <c:v>Peas</c:v>
                </c:pt>
                <c:pt idx="20" c:formatCode="0.00_);[Red]\(0.00\)">
                  <c:v>Beans</c:v>
                </c:pt>
                <c:pt idx="21" c:formatCode="0.00_);[Red]\(0.00\)">
                  <c:v>Pasta</c:v>
                </c:pt>
                <c:pt idx="22" c:formatCode="0.00_);[Red]\(0.00\)">
                  <c:v>Lentils</c:v>
                </c:pt>
                <c:pt idx="23" c:formatCode="0.00_);[Red]\(0.00\)">
                  <c:v>Watermelon</c:v>
                </c:pt>
                <c:pt idx="24" c:formatCode="0.00_);[Red]\(0.00\)">
                  <c:v>Cucumber</c:v>
                </c:pt>
                <c:pt idx="25" c:formatCode="0.00_);[Red]\(0.00\)">
                  <c:v>Pork</c:v>
                </c:pt>
                <c:pt idx="26" c:formatCode="0.00_);[Red]\(0.00\)">
                  <c:v>Peaches</c:v>
                </c:pt>
                <c:pt idx="27" c:formatCode="0.00_);[Red]\(0.00\)">
                  <c:v>Strawberries</c:v>
                </c:pt>
                <c:pt idx="28" c:formatCode="0.00_);[Red]\(0.00\)">
                  <c:v>Butter</c:v>
                </c:pt>
                <c:pt idx="29" c:formatCode="0.00_);[Red]\(0.00\)">
                  <c:v>Oil</c:v>
                </c:pt>
                <c:pt idx="30" c:formatCode="0.00_);[Red]\(0.00\)">
                  <c:v>Sugar</c:v>
                </c:pt>
                <c:pt idx="31" c:formatCode="0.00_);[Red]\(0.00\)">
                  <c:v>Salt</c:v>
                </c:pt>
                <c:pt idx="32" c:formatCode="0.00_);[Red]\(0.00\)">
                  <c:v>Mushrooms</c:v>
                </c:pt>
                <c:pt idx="33" c:formatCode="0.00_);[Red]\(0.00\)">
                  <c:v>Corn</c:v>
                </c:pt>
                <c:pt idx="34" c:formatCode="0.00_);[Red]\(0.00\)">
                  <c:v>Zucchini</c:v>
                </c:pt>
                <c:pt idx="35" c:formatCode="0.00_);[Red]\(0.00\)">
                  <c:v>Pineapple</c:v>
                </c:pt>
                <c:pt idx="36" c:formatCode="0.00_);[Red]\(0.00\)">
                  <c:v>Chocolate</c:v>
                </c:pt>
                <c:pt idx="37" c:formatCode="0.00_);[Red]\(0.00\)">
                  <c:v>Ice Cream</c:v>
                </c:pt>
                <c:pt idx="38" c:formatCode="0.00_);[Red]\(0.00\)">
                  <c:v>Coffee</c:v>
                </c:pt>
                <c:pt idx="39" c:formatCode="0.00_);[Red]\(0.00\)">
                  <c:v>Tea</c:v>
                </c:pt>
                <c:pt idx="40" c:formatCode="0.00_);[Red]\(0.00\)">
                  <c:v>Flour</c:v>
                </c:pt>
                <c:pt idx="41" c:formatCode="0.00_);[Red]\(0.00\)">
                  <c:v>Baking Powder</c:v>
                </c:pt>
                <c:pt idx="42" c:formatCode="0.00_);[Red]\(0.00\)">
                  <c:v>Honey</c:v>
                </c:pt>
                <c:pt idx="43" c:formatCode="0.00_);[Red]\(0.00\)">
                  <c:v>Nuts</c:v>
                </c:pt>
                <c:pt idx="44" c:formatCode="0.00_);[Red]\(0.00\)">
                  <c:v>Seeds</c:v>
                </c:pt>
              </c:strCache>
            </c:strRef>
          </c:cat>
          <c:val>
            <c:numRef>
              <c:f>'Food Waste Analysis'!$F$2:$F$46</c:f>
              <c:numCache>
                <c:formatCode>0\%</c:formatCode>
                <c:ptCount val="45"/>
                <c:pt idx="0">
                  <c:v>2.79329608938548</c:v>
                </c:pt>
                <c:pt idx="1">
                  <c:v>5.58659217877095</c:v>
                </c:pt>
                <c:pt idx="2">
                  <c:v>5.58659217877095</c:v>
                </c:pt>
                <c:pt idx="3">
                  <c:v>2.79329608938548</c:v>
                </c:pt>
                <c:pt idx="4">
                  <c:v>5.58659217877095</c:v>
                </c:pt>
                <c:pt idx="5">
                  <c:v>5.58659217877095</c:v>
                </c:pt>
                <c:pt idx="6">
                  <c:v>11.1731843575419</c:v>
                </c:pt>
                <c:pt idx="7">
                  <c:v>2.79329608938548</c:v>
                </c:pt>
                <c:pt idx="8">
                  <c:v>2.79329608938548</c:v>
                </c:pt>
                <c:pt idx="9">
                  <c:v>5.58659217877095</c:v>
                </c:pt>
                <c:pt idx="10">
                  <c:v>2.79329608938548</c:v>
                </c:pt>
                <c:pt idx="11">
                  <c:v>1.11731843575419</c:v>
                </c:pt>
                <c:pt idx="12">
                  <c:v>1.11731843575419</c:v>
                </c:pt>
                <c:pt idx="13">
                  <c:v>1.11731843575419</c:v>
                </c:pt>
                <c:pt idx="14">
                  <c:v>1.67597765363128</c:v>
                </c:pt>
                <c:pt idx="15">
                  <c:v>1.11731843575419</c:v>
                </c:pt>
                <c:pt idx="16">
                  <c:v>1.67597765363128</c:v>
                </c:pt>
                <c:pt idx="17">
                  <c:v>1.67597765363128</c:v>
                </c:pt>
                <c:pt idx="18">
                  <c:v>2.79329608938548</c:v>
                </c:pt>
                <c:pt idx="19">
                  <c:v>2.79329608938548</c:v>
                </c:pt>
                <c:pt idx="20">
                  <c:v>1.11731843575419</c:v>
                </c:pt>
                <c:pt idx="21">
                  <c:v>2.79329608938548</c:v>
                </c:pt>
                <c:pt idx="22">
                  <c:v>1.11731843575419</c:v>
                </c:pt>
                <c:pt idx="23">
                  <c:v>2.79329608938548</c:v>
                </c:pt>
                <c:pt idx="24">
                  <c:v>2.79329608938548</c:v>
                </c:pt>
                <c:pt idx="25">
                  <c:v>1.11731843575419</c:v>
                </c:pt>
                <c:pt idx="26">
                  <c:v>1.11731843575419</c:v>
                </c:pt>
                <c:pt idx="27">
                  <c:v>1.67597765363128</c:v>
                </c:pt>
                <c:pt idx="28">
                  <c:v>1.11731843575419</c:v>
                </c:pt>
                <c:pt idx="29">
                  <c:v>1.11731843575419</c:v>
                </c:pt>
                <c:pt idx="30">
                  <c:v>1.11731843575419</c:v>
                </c:pt>
                <c:pt idx="31">
                  <c:v>0.558659217877095</c:v>
                </c:pt>
                <c:pt idx="32">
                  <c:v>1.11731843575419</c:v>
                </c:pt>
                <c:pt idx="33">
                  <c:v>2.79329608938548</c:v>
                </c:pt>
                <c:pt idx="34">
                  <c:v>1.67597765363128</c:v>
                </c:pt>
                <c:pt idx="35">
                  <c:v>1.11731843575419</c:v>
                </c:pt>
                <c:pt idx="36">
                  <c:v>0.558659217877095</c:v>
                </c:pt>
                <c:pt idx="37">
                  <c:v>1.11731843575419</c:v>
                </c:pt>
                <c:pt idx="38">
                  <c:v>0.558659217877095</c:v>
                </c:pt>
                <c:pt idx="39">
                  <c:v>0.558659217877095</c:v>
                </c:pt>
                <c:pt idx="40">
                  <c:v>1.11731843575419</c:v>
                </c:pt>
                <c:pt idx="41">
                  <c:v>0.558659217877095</c:v>
                </c:pt>
                <c:pt idx="42">
                  <c:v>0.558659217877095</c:v>
                </c:pt>
                <c:pt idx="43">
                  <c:v>0.558659217877095</c:v>
                </c:pt>
                <c:pt idx="44">
                  <c:v>1.11731843575419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'Food Waste Analysis'!$B$1</c15:sqref>
                        </c15:formulaRef>
                      </c:ext>
                    </c:extLst>
                    <c:strCache>
                      <c:ptCount val="1"/>
                      <c:pt idx="0">
                        <c:v>Purchased Quantity (kg)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0">
                          <a:schemeClr val="accent1">
                            <a:lumMod val="40000"/>
                            <a:lumOff val="60000"/>
                          </a:schemeClr>
                        </a:gs>
                        <a:gs pos="90000">
                          <a:schemeClr val="accent1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/>
                          </a:gs>
                          <a:gs pos="100000">
                            <a:schemeClr val="accent1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0">
                          <a:schemeClr val="accent2">
                            <a:lumMod val="40000"/>
                            <a:lumOff val="60000"/>
                          </a:schemeClr>
                        </a:gs>
                        <a:gs pos="90000">
                          <a:schemeClr val="accent2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/>
                          </a:gs>
                          <a:gs pos="100000">
                            <a:schemeClr val="accent2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0">
                          <a:schemeClr val="accent3">
                            <a:lumMod val="40000"/>
                            <a:lumOff val="60000"/>
                          </a:schemeClr>
                        </a:gs>
                        <a:gs pos="90000">
                          <a:schemeClr val="accent3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/>
                          </a:gs>
                          <a:gs pos="100000">
                            <a:schemeClr val="accent3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0">
                          <a:schemeClr val="accent4">
                            <a:lumMod val="40000"/>
                            <a:lumOff val="60000"/>
                          </a:schemeClr>
                        </a:gs>
                        <a:gs pos="90000">
                          <a:schemeClr val="accent4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/>
                          </a:gs>
                          <a:gs pos="100000">
                            <a:schemeClr val="accent4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0">
                          <a:schemeClr val="accent5">
                            <a:lumMod val="40000"/>
                            <a:lumOff val="60000"/>
                          </a:schemeClr>
                        </a:gs>
                        <a:gs pos="90000">
                          <a:schemeClr val="accent5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/>
                          </a:gs>
                          <a:gs pos="100000">
                            <a:schemeClr val="accent5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0">
                          <a:schemeClr val="accent6">
                            <a:lumMod val="40000"/>
                            <a:lumOff val="60000"/>
                          </a:schemeClr>
                        </a:gs>
                        <a:gs pos="90000">
                          <a:schemeClr val="accent6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/>
                          </a:gs>
                          <a:gs pos="100000">
                            <a:schemeClr val="accent6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6"/>
                  <c:bubble3D val="0"/>
                  <c:spPr>
                    <a:gradFill>
                      <a:gsLst>
                        <a:gs pos="0">
                          <a:schemeClr val="accent1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60000"/>
                            </a:schemeClr>
                          </a:gs>
                          <a:gs pos="100000">
                            <a:schemeClr val="accent1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7"/>
                  <c:bubble3D val="0"/>
                  <c:spPr>
                    <a:gradFill>
                      <a:gsLst>
                        <a:gs pos="0">
                          <a:schemeClr val="accent2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60000"/>
                            </a:schemeClr>
                          </a:gs>
                          <a:gs pos="100000">
                            <a:schemeClr val="accent2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8"/>
                  <c:bubble3D val="0"/>
                  <c:spPr>
                    <a:gradFill>
                      <a:gsLst>
                        <a:gs pos="0">
                          <a:schemeClr val="accent3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60000"/>
                            </a:schemeClr>
                          </a:gs>
                          <a:gs pos="100000">
                            <a:schemeClr val="accent3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9"/>
                  <c:bubble3D val="0"/>
                  <c:spPr>
                    <a:gradFill>
                      <a:gsLst>
                        <a:gs pos="0">
                          <a:schemeClr val="accent4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60000"/>
                            </a:schemeClr>
                          </a:gs>
                          <a:gs pos="100000">
                            <a:schemeClr val="accent4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0"/>
                  <c:bubble3D val="0"/>
                  <c:spPr>
                    <a:gradFill>
                      <a:gsLst>
                        <a:gs pos="0">
                          <a:schemeClr val="accent5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60000"/>
                            </a:schemeClr>
                          </a:gs>
                          <a:gs pos="100000">
                            <a:schemeClr val="accent5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1"/>
                  <c:bubble3D val="0"/>
                  <c:spPr>
                    <a:gradFill>
                      <a:gsLst>
                        <a:gs pos="0">
                          <a:schemeClr val="accent6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60000"/>
                            </a:schemeClr>
                          </a:gs>
                          <a:gs pos="100000">
                            <a:schemeClr val="accent6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2"/>
                  <c:bubble3D val="0"/>
                  <c:spPr>
                    <a:gradFill>
                      <a:gsLst>
                        <a:gs pos="0">
                          <a:schemeClr val="accent1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1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3"/>
                  <c:bubble3D val="0"/>
                  <c:spPr>
                    <a:gradFill>
                      <a:gsLst>
                        <a:gs pos="0">
                          <a:schemeClr val="accent2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2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4"/>
                  <c:bubble3D val="0"/>
                  <c:spPr>
                    <a:gradFill>
                      <a:gsLst>
                        <a:gs pos="0">
                          <a:schemeClr val="accent3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3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5"/>
                  <c:bubble3D val="0"/>
                  <c:spPr>
                    <a:gradFill>
                      <a:gsLst>
                        <a:gs pos="0">
                          <a:schemeClr val="accent4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4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6"/>
                  <c:bubble3D val="0"/>
                  <c:spPr>
                    <a:gradFill>
                      <a:gsLst>
                        <a:gs pos="0">
                          <a:schemeClr val="accent5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5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7"/>
                  <c:bubble3D val="0"/>
                  <c:spPr>
                    <a:gradFill>
                      <a:gsLst>
                        <a:gs pos="0">
                          <a:schemeClr val="accent6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6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8"/>
                  <c:bubble3D val="0"/>
                  <c:spPr>
                    <a:gradFill>
                      <a:gsLst>
                        <a:gs pos="0">
                          <a:schemeClr val="accent1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80000"/>
                            </a:schemeClr>
                          </a:gs>
                          <a:gs pos="100000">
                            <a:schemeClr val="accent1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9"/>
                  <c:bubble3D val="0"/>
                  <c:spPr>
                    <a:gradFill>
                      <a:gsLst>
                        <a:gs pos="0">
                          <a:schemeClr val="accent2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80000"/>
                            </a:schemeClr>
                          </a:gs>
                          <a:gs pos="100000">
                            <a:schemeClr val="accent2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0"/>
                  <c:bubble3D val="0"/>
                  <c:spPr>
                    <a:gradFill>
                      <a:gsLst>
                        <a:gs pos="0">
                          <a:schemeClr val="accent3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80000"/>
                            </a:schemeClr>
                          </a:gs>
                          <a:gs pos="100000">
                            <a:schemeClr val="accent3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1"/>
                  <c:bubble3D val="0"/>
                  <c:spPr>
                    <a:gradFill>
                      <a:gsLst>
                        <a:gs pos="0">
                          <a:schemeClr val="accent4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80000"/>
                            </a:schemeClr>
                          </a:gs>
                          <a:gs pos="100000">
                            <a:schemeClr val="accent4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2"/>
                  <c:bubble3D val="0"/>
                  <c:spPr>
                    <a:gradFill>
                      <a:gsLst>
                        <a:gs pos="0">
                          <a:schemeClr val="accent5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80000"/>
                            </a:schemeClr>
                          </a:gs>
                          <a:gs pos="100000">
                            <a:schemeClr val="accent5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3"/>
                  <c:bubble3D val="0"/>
                  <c:spPr>
                    <a:gradFill>
                      <a:gsLst>
                        <a:gs pos="0">
                          <a:schemeClr val="accent6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80000"/>
                            </a:schemeClr>
                          </a:gs>
                          <a:gs pos="100000">
                            <a:schemeClr val="accent6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4"/>
                  <c:bubble3D val="0"/>
                  <c:spPr>
                    <a:gradFill>
                      <a:gsLst>
                        <a:gs pos="0">
                          <a:schemeClr val="accent1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1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5"/>
                  <c:bubble3D val="0"/>
                  <c:spPr>
                    <a:gradFill>
                      <a:gsLst>
                        <a:gs pos="0">
                          <a:schemeClr val="accent2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2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6"/>
                  <c:bubble3D val="0"/>
                  <c:spPr>
                    <a:gradFill>
                      <a:gsLst>
                        <a:gs pos="0">
                          <a:schemeClr val="accent3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3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7"/>
                  <c:bubble3D val="0"/>
                  <c:spPr>
                    <a:gradFill>
                      <a:gsLst>
                        <a:gs pos="0">
                          <a:schemeClr val="accent4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4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8"/>
                  <c:bubble3D val="0"/>
                  <c:spPr>
                    <a:gradFill>
                      <a:gsLst>
                        <a:gs pos="0">
                          <a:schemeClr val="accent5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5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9"/>
                  <c:bubble3D val="0"/>
                  <c:spPr>
                    <a:gradFill>
                      <a:gsLst>
                        <a:gs pos="0">
                          <a:schemeClr val="accent6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6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0"/>
                  <c:bubble3D val="0"/>
                  <c:spPr>
                    <a:gradFill>
                      <a:gsLst>
                        <a:gs pos="0">
                          <a:schemeClr val="accent1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50000"/>
                            </a:schemeClr>
                          </a:gs>
                          <a:gs pos="100000">
                            <a:schemeClr val="accent1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1"/>
                  <c:bubble3D val="0"/>
                  <c:spPr>
                    <a:gradFill>
                      <a:gsLst>
                        <a:gs pos="0">
                          <a:schemeClr val="accent2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50000"/>
                            </a:schemeClr>
                          </a:gs>
                          <a:gs pos="100000">
                            <a:schemeClr val="accent2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2"/>
                  <c:bubble3D val="0"/>
                  <c:spPr>
                    <a:gradFill>
                      <a:gsLst>
                        <a:gs pos="0">
                          <a:schemeClr val="accent3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50000"/>
                            </a:schemeClr>
                          </a:gs>
                          <a:gs pos="100000">
                            <a:schemeClr val="accent3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3"/>
                  <c:bubble3D val="0"/>
                  <c:spPr>
                    <a:gradFill>
                      <a:gsLst>
                        <a:gs pos="0">
                          <a:schemeClr val="accent4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50000"/>
                            </a:schemeClr>
                          </a:gs>
                          <a:gs pos="100000">
                            <a:schemeClr val="accent4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4"/>
                  <c:bubble3D val="0"/>
                  <c:spPr>
                    <a:gradFill>
                      <a:gsLst>
                        <a:gs pos="0">
                          <a:schemeClr val="accent5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50000"/>
                            </a:schemeClr>
                          </a:gs>
                          <a:gs pos="100000">
                            <a:schemeClr val="accent5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5"/>
                  <c:bubble3D val="0"/>
                  <c:spPr>
                    <a:gradFill>
                      <a:gsLst>
                        <a:gs pos="0">
                          <a:schemeClr val="accent6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50000"/>
                            </a:schemeClr>
                          </a:gs>
                          <a:gs pos="100000">
                            <a:schemeClr val="accent6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6"/>
                  <c:bubble3D val="0"/>
                  <c:spPr>
                    <a:gradFill>
                      <a:gsLst>
                        <a:gs pos="0">
                          <a:schemeClr val="accent1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1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7"/>
                  <c:bubble3D val="0"/>
                  <c:spPr>
                    <a:gradFill>
                      <a:gsLst>
                        <a:gs pos="0">
                          <a:schemeClr val="accent2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2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8"/>
                  <c:bubble3D val="0"/>
                  <c:spPr>
                    <a:gradFill>
                      <a:gsLst>
                        <a:gs pos="0">
                          <a:schemeClr val="accent3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3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9"/>
                  <c:bubble3D val="0"/>
                  <c:spPr>
                    <a:gradFill>
                      <a:gsLst>
                        <a:gs pos="0">
                          <a:schemeClr val="accent4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4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0"/>
                  <c:bubble3D val="0"/>
                  <c:spPr>
                    <a:gradFill>
                      <a:gsLst>
                        <a:gs pos="0">
                          <a:schemeClr val="accent5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5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1"/>
                  <c:bubble3D val="0"/>
                  <c:spPr>
                    <a:gradFill>
                      <a:gsLst>
                        <a:gs pos="0">
                          <a:schemeClr val="accent6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6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2"/>
                  <c:bubble3D val="0"/>
                  <c:spPr>
                    <a:gradFill>
                      <a:gsLst>
                        <a:gs pos="0">
                          <a:schemeClr val="accent1">
                            <a:lumMod val="7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70000"/>
                            </a:schemeClr>
                          </a:gs>
                          <a:gs pos="100000">
                            <a:schemeClr val="accent1">
                              <a:lumMod val="7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3"/>
                  <c:bubble3D val="0"/>
                  <c:spPr>
                    <a:gradFill>
                      <a:gsLst>
                        <a:gs pos="0">
                          <a:schemeClr val="accent2">
                            <a:lumMod val="7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70000"/>
                            </a:schemeClr>
                          </a:gs>
                          <a:gs pos="100000">
                            <a:schemeClr val="accent2">
                              <a:lumMod val="7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4"/>
                  <c:bubble3D val="0"/>
                  <c:spPr>
                    <a:gradFill>
                      <a:gsLst>
                        <a:gs pos="0">
                          <a:schemeClr val="accent3">
                            <a:lumMod val="7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70000"/>
                            </a:schemeClr>
                          </a:gs>
                          <a:gs pos="100000">
                            <a:schemeClr val="accent3">
                              <a:lumMod val="7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Lbls>
                  <c:dLbl>
                    <c:idx val="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5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6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7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8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9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5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6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7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8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9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5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6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7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8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9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5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6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7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8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9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1" i="0" u="none" strike="noStrike" kern="1200" spc="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'Food Waste Analysis'!$A$2:$A$46</c15:sqref>
                        </c15:formulaRef>
                      </c:ext>
                    </c:extLst>
                    <c:strCache>
                      <c:ptCount val="45"/>
                      <c:pt idx="0" c:formatCode="0.00_);[Red]\(0.00\)">
                        <c:v>Milk</c:v>
                      </c:pt>
                      <c:pt idx="1" c:formatCode="0.00_);[Red]\(0.00\)">
                        <c:v>Bread</c:v>
                      </c:pt>
                      <c:pt idx="2" c:formatCode="0.00_);[Red]\(0.00\)">
                        <c:v>Apples</c:v>
                      </c:pt>
                      <c:pt idx="3" c:formatCode="0.00_);[Red]\(0.00\)">
                        <c:v>Chicken</c:v>
                      </c:pt>
                      <c:pt idx="4" c:formatCode="0.00_);[Red]\(0.00\)">
                        <c:v>Rice</c:v>
                      </c:pt>
                      <c:pt idx="5" c:formatCode="0.00_);[Red]\(0.00\)">
                        <c:v>Potatoes</c:v>
                      </c:pt>
                      <c:pt idx="6" c:formatCode="0.00_);[Red]\(0.00\)">
                        <c:v>Eggs</c:v>
                      </c:pt>
                      <c:pt idx="7" c:formatCode="0.00_);[Red]\(0.00\)">
                        <c:v>Fish</c:v>
                      </c:pt>
                      <c:pt idx="8" c:formatCode="0.00_);[Red]\(0.00\)">
                        <c:v>Bananas</c:v>
                      </c:pt>
                      <c:pt idx="9" c:formatCode="0.00_);[Red]\(0.00\)">
                        <c:v>Onions</c:v>
                      </c:pt>
                      <c:pt idx="10" c:formatCode="0.00_);[Red]\(0.00\)">
                        <c:v>Tomatoes</c:v>
                      </c:pt>
                      <c:pt idx="11" c:formatCode="0.00_);[Red]\(0.00\)">
                        <c:v>Cheese</c:v>
                      </c:pt>
                      <c:pt idx="12" c:formatCode="0.00_);[Red]\(0.00\)">
                        <c:v>Yogurt</c:v>
                      </c:pt>
                      <c:pt idx="13" c:formatCode="0.00_);[Red]\(0.00\)">
                        <c:v>Spinach</c:v>
                      </c:pt>
                      <c:pt idx="14" c:formatCode="0.00_);[Red]\(0.00\)">
                        <c:v>Beef</c:v>
                      </c:pt>
                      <c:pt idx="15" c:formatCode="0.00_);[Red]\(0.00\)">
                        <c:v>Oranges</c:v>
                      </c:pt>
                      <c:pt idx="16" c:formatCode="0.00_);[Red]\(0.00\)">
                        <c:v>Grapes</c:v>
                      </c:pt>
                      <c:pt idx="17" c:formatCode="0.00_);[Red]\(0.00\)">
                        <c:v>Lettuce</c:v>
                      </c:pt>
                      <c:pt idx="18" c:formatCode="0.00_);[Red]\(0.00\)">
                        <c:v>Carrots</c:v>
                      </c:pt>
                      <c:pt idx="19" c:formatCode="0.00_);[Red]\(0.00\)">
                        <c:v>Peas</c:v>
                      </c:pt>
                      <c:pt idx="20" c:formatCode="0.00_);[Red]\(0.00\)">
                        <c:v>Beans</c:v>
                      </c:pt>
                      <c:pt idx="21" c:formatCode="0.00_);[Red]\(0.00\)">
                        <c:v>Pasta</c:v>
                      </c:pt>
                      <c:pt idx="22" c:formatCode="0.00_);[Red]\(0.00\)">
                        <c:v>Lentils</c:v>
                      </c:pt>
                      <c:pt idx="23" c:formatCode="0.00_);[Red]\(0.00\)">
                        <c:v>Watermelon</c:v>
                      </c:pt>
                      <c:pt idx="24" c:formatCode="0.00_);[Red]\(0.00\)">
                        <c:v>Cucumber</c:v>
                      </c:pt>
                      <c:pt idx="25" c:formatCode="0.00_);[Red]\(0.00\)">
                        <c:v>Pork</c:v>
                      </c:pt>
                      <c:pt idx="26" c:formatCode="0.00_);[Red]\(0.00\)">
                        <c:v>Peaches</c:v>
                      </c:pt>
                      <c:pt idx="27" c:formatCode="0.00_);[Red]\(0.00\)">
                        <c:v>Strawberries</c:v>
                      </c:pt>
                      <c:pt idx="28" c:formatCode="0.00_);[Red]\(0.00\)">
                        <c:v>Butter</c:v>
                      </c:pt>
                      <c:pt idx="29" c:formatCode="0.00_);[Red]\(0.00\)">
                        <c:v>Oil</c:v>
                      </c:pt>
                      <c:pt idx="30" c:formatCode="0.00_);[Red]\(0.00\)">
                        <c:v>Sugar</c:v>
                      </c:pt>
                      <c:pt idx="31" c:formatCode="0.00_);[Red]\(0.00\)">
                        <c:v>Salt</c:v>
                      </c:pt>
                      <c:pt idx="32" c:formatCode="0.00_);[Red]\(0.00\)">
                        <c:v>Mushrooms</c:v>
                      </c:pt>
                      <c:pt idx="33" c:formatCode="0.00_);[Red]\(0.00\)">
                        <c:v>Corn</c:v>
                      </c:pt>
                      <c:pt idx="34" c:formatCode="0.00_);[Red]\(0.00\)">
                        <c:v>Zucchini</c:v>
                      </c:pt>
                      <c:pt idx="35" c:formatCode="0.00_);[Red]\(0.00\)">
                        <c:v>Pineapple</c:v>
                      </c:pt>
                      <c:pt idx="36" c:formatCode="0.00_);[Red]\(0.00\)">
                        <c:v>Chocolate</c:v>
                      </c:pt>
                      <c:pt idx="37" c:formatCode="0.00_);[Red]\(0.00\)">
                        <c:v>Ice Cream</c:v>
                      </c:pt>
                      <c:pt idx="38" c:formatCode="0.00_);[Red]\(0.00\)">
                        <c:v>Coffee</c:v>
                      </c:pt>
                      <c:pt idx="39" c:formatCode="0.00_);[Red]\(0.00\)">
                        <c:v>Tea</c:v>
                      </c:pt>
                      <c:pt idx="40" c:formatCode="0.00_);[Red]\(0.00\)">
                        <c:v>Flour</c:v>
                      </c:pt>
                      <c:pt idx="41" c:formatCode="0.00_);[Red]\(0.00\)">
                        <c:v>Baking Powder</c:v>
                      </c:pt>
                      <c:pt idx="42" c:formatCode="0.00_);[Red]\(0.00\)">
                        <c:v>Honey</c:v>
                      </c:pt>
                      <c:pt idx="43" c:formatCode="0.00_);[Red]\(0.00\)">
                        <c:v>Nuts</c:v>
                      </c:pt>
                      <c:pt idx="44" c:formatCode="0.00_);[Red]\(0.00\)">
                        <c:v>Seeds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'Food Waste Analysis'!$B$2:$B$46</c15:sqref>
                        </c15:formulaRef>
                      </c:ext>
                    </c:extLst>
                    <c:numCache>
                      <c:formatCode>0.00_);[Red]\(0.00\)</c:formatCode>
                      <c:ptCount val="45"/>
                      <c:pt idx="0">
                        <c:v>2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4</c:v>
                      </c:pt>
                      <c:pt idx="5">
                        <c:v>6</c:v>
                      </c:pt>
                      <c:pt idx="6">
                        <c:v>12</c:v>
                      </c:pt>
                      <c:pt idx="7">
                        <c:v>3</c:v>
                      </c:pt>
                      <c:pt idx="8">
                        <c:v>2</c:v>
                      </c:pt>
                      <c:pt idx="9">
                        <c:v>4</c:v>
                      </c:pt>
                      <c:pt idx="10">
                        <c:v>5</c:v>
                      </c:pt>
                      <c:pt idx="11">
                        <c:v>1</c:v>
                      </c:pt>
                      <c:pt idx="12">
                        <c:v>2</c:v>
                      </c:pt>
                      <c:pt idx="13">
                        <c:v>1</c:v>
                      </c:pt>
                      <c:pt idx="14">
                        <c:v>3</c:v>
                      </c:pt>
                      <c:pt idx="15">
                        <c:v>2</c:v>
                      </c:pt>
                      <c:pt idx="16">
                        <c:v>1.5</c:v>
                      </c:pt>
                      <c:pt idx="17">
                        <c:v>1</c:v>
                      </c:pt>
                      <c:pt idx="18">
                        <c:v>3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4</c:v>
                      </c:pt>
                      <c:pt idx="22">
                        <c:v>2</c:v>
                      </c:pt>
                      <c:pt idx="23">
                        <c:v>5</c:v>
                      </c:pt>
                      <c:pt idx="24">
                        <c:v>3</c:v>
                      </c:pt>
                      <c:pt idx="25">
                        <c:v>4</c:v>
                      </c:pt>
                      <c:pt idx="26">
                        <c:v>2</c:v>
                      </c:pt>
                      <c:pt idx="27">
                        <c:v>1.5</c:v>
                      </c:pt>
                      <c:pt idx="28">
                        <c:v>1</c:v>
                      </c:pt>
                      <c:pt idx="29">
                        <c:v>3</c:v>
                      </c:pt>
                      <c:pt idx="30">
                        <c:v>2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1.5</c:v>
                      </c:pt>
                      <c:pt idx="35">
                        <c:v>2</c:v>
                      </c:pt>
                      <c:pt idx="36">
                        <c:v>1</c:v>
                      </c:pt>
                      <c:pt idx="37">
                        <c:v>2</c:v>
                      </c:pt>
                      <c:pt idx="38">
                        <c:v>1</c:v>
                      </c:pt>
                      <c:pt idx="39">
                        <c:v>0.5</c:v>
                      </c:pt>
                      <c:pt idx="40">
                        <c:v>4</c:v>
                      </c:pt>
                      <c:pt idx="41">
                        <c:v>0.5</c:v>
                      </c:pt>
                      <c:pt idx="42">
                        <c:v>1</c:v>
                      </c:pt>
                      <c:pt idx="43">
                        <c:v>1.5</c:v>
                      </c:pt>
                      <c:pt idx="44">
                        <c:v>1</c:v>
                      </c:pt>
                    </c:numCache>
                  </c:numRef>
                </c:val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'Food Waste Analysis'!$C$1</c15:sqref>
                        </c15:formulaRef>
                      </c:ext>
                    </c:extLst>
                    <c:strCache>
                      <c:ptCount val="1"/>
                      <c:pt idx="0">
                        <c:v>Consumed Quantity (kg)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0">
                          <a:schemeClr val="accent1">
                            <a:lumMod val="40000"/>
                            <a:lumOff val="60000"/>
                          </a:schemeClr>
                        </a:gs>
                        <a:gs pos="90000">
                          <a:schemeClr val="accent1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/>
                          </a:gs>
                          <a:gs pos="100000">
                            <a:schemeClr val="accent1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0">
                          <a:schemeClr val="accent2">
                            <a:lumMod val="40000"/>
                            <a:lumOff val="60000"/>
                          </a:schemeClr>
                        </a:gs>
                        <a:gs pos="90000">
                          <a:schemeClr val="accent2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/>
                          </a:gs>
                          <a:gs pos="100000">
                            <a:schemeClr val="accent2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0">
                          <a:schemeClr val="accent3">
                            <a:lumMod val="40000"/>
                            <a:lumOff val="60000"/>
                          </a:schemeClr>
                        </a:gs>
                        <a:gs pos="90000">
                          <a:schemeClr val="accent3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/>
                          </a:gs>
                          <a:gs pos="100000">
                            <a:schemeClr val="accent3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0">
                          <a:schemeClr val="accent4">
                            <a:lumMod val="40000"/>
                            <a:lumOff val="60000"/>
                          </a:schemeClr>
                        </a:gs>
                        <a:gs pos="90000">
                          <a:schemeClr val="accent4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/>
                          </a:gs>
                          <a:gs pos="100000">
                            <a:schemeClr val="accent4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0">
                          <a:schemeClr val="accent5">
                            <a:lumMod val="40000"/>
                            <a:lumOff val="60000"/>
                          </a:schemeClr>
                        </a:gs>
                        <a:gs pos="90000">
                          <a:schemeClr val="accent5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/>
                          </a:gs>
                          <a:gs pos="100000">
                            <a:schemeClr val="accent5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0">
                          <a:schemeClr val="accent6">
                            <a:lumMod val="40000"/>
                            <a:lumOff val="60000"/>
                          </a:schemeClr>
                        </a:gs>
                        <a:gs pos="90000">
                          <a:schemeClr val="accent6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/>
                          </a:gs>
                          <a:gs pos="100000">
                            <a:schemeClr val="accent6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6"/>
                  <c:bubble3D val="0"/>
                  <c:spPr>
                    <a:gradFill>
                      <a:gsLst>
                        <a:gs pos="0">
                          <a:schemeClr val="accent1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60000"/>
                            </a:schemeClr>
                          </a:gs>
                          <a:gs pos="100000">
                            <a:schemeClr val="accent1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7"/>
                  <c:bubble3D val="0"/>
                  <c:spPr>
                    <a:gradFill>
                      <a:gsLst>
                        <a:gs pos="0">
                          <a:schemeClr val="accent2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60000"/>
                            </a:schemeClr>
                          </a:gs>
                          <a:gs pos="100000">
                            <a:schemeClr val="accent2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8"/>
                  <c:bubble3D val="0"/>
                  <c:spPr>
                    <a:gradFill>
                      <a:gsLst>
                        <a:gs pos="0">
                          <a:schemeClr val="accent3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60000"/>
                            </a:schemeClr>
                          </a:gs>
                          <a:gs pos="100000">
                            <a:schemeClr val="accent3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9"/>
                  <c:bubble3D val="0"/>
                  <c:spPr>
                    <a:gradFill>
                      <a:gsLst>
                        <a:gs pos="0">
                          <a:schemeClr val="accent4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60000"/>
                            </a:schemeClr>
                          </a:gs>
                          <a:gs pos="100000">
                            <a:schemeClr val="accent4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0"/>
                  <c:bubble3D val="0"/>
                  <c:spPr>
                    <a:gradFill>
                      <a:gsLst>
                        <a:gs pos="0">
                          <a:schemeClr val="accent5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60000"/>
                            </a:schemeClr>
                          </a:gs>
                          <a:gs pos="100000">
                            <a:schemeClr val="accent5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1"/>
                  <c:bubble3D val="0"/>
                  <c:spPr>
                    <a:gradFill>
                      <a:gsLst>
                        <a:gs pos="0">
                          <a:schemeClr val="accent6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60000"/>
                            </a:schemeClr>
                          </a:gs>
                          <a:gs pos="100000">
                            <a:schemeClr val="accent6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2"/>
                  <c:bubble3D val="0"/>
                  <c:spPr>
                    <a:gradFill>
                      <a:gsLst>
                        <a:gs pos="0">
                          <a:schemeClr val="accent1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1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3"/>
                  <c:bubble3D val="0"/>
                  <c:spPr>
                    <a:gradFill>
                      <a:gsLst>
                        <a:gs pos="0">
                          <a:schemeClr val="accent2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2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4"/>
                  <c:bubble3D val="0"/>
                  <c:spPr>
                    <a:gradFill>
                      <a:gsLst>
                        <a:gs pos="0">
                          <a:schemeClr val="accent3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3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5"/>
                  <c:bubble3D val="0"/>
                  <c:spPr>
                    <a:gradFill>
                      <a:gsLst>
                        <a:gs pos="0">
                          <a:schemeClr val="accent4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4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6"/>
                  <c:bubble3D val="0"/>
                  <c:spPr>
                    <a:gradFill>
                      <a:gsLst>
                        <a:gs pos="0">
                          <a:schemeClr val="accent5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5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7"/>
                  <c:bubble3D val="0"/>
                  <c:spPr>
                    <a:gradFill>
                      <a:gsLst>
                        <a:gs pos="0">
                          <a:schemeClr val="accent6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6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8"/>
                  <c:bubble3D val="0"/>
                  <c:spPr>
                    <a:gradFill>
                      <a:gsLst>
                        <a:gs pos="0">
                          <a:schemeClr val="accent1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80000"/>
                            </a:schemeClr>
                          </a:gs>
                          <a:gs pos="100000">
                            <a:schemeClr val="accent1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9"/>
                  <c:bubble3D val="0"/>
                  <c:spPr>
                    <a:gradFill>
                      <a:gsLst>
                        <a:gs pos="0">
                          <a:schemeClr val="accent2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80000"/>
                            </a:schemeClr>
                          </a:gs>
                          <a:gs pos="100000">
                            <a:schemeClr val="accent2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0"/>
                  <c:bubble3D val="0"/>
                  <c:spPr>
                    <a:gradFill>
                      <a:gsLst>
                        <a:gs pos="0">
                          <a:schemeClr val="accent3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80000"/>
                            </a:schemeClr>
                          </a:gs>
                          <a:gs pos="100000">
                            <a:schemeClr val="accent3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1"/>
                  <c:bubble3D val="0"/>
                  <c:spPr>
                    <a:gradFill>
                      <a:gsLst>
                        <a:gs pos="0">
                          <a:schemeClr val="accent4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80000"/>
                            </a:schemeClr>
                          </a:gs>
                          <a:gs pos="100000">
                            <a:schemeClr val="accent4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2"/>
                  <c:bubble3D val="0"/>
                  <c:spPr>
                    <a:gradFill>
                      <a:gsLst>
                        <a:gs pos="0">
                          <a:schemeClr val="accent5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80000"/>
                            </a:schemeClr>
                          </a:gs>
                          <a:gs pos="100000">
                            <a:schemeClr val="accent5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3"/>
                  <c:bubble3D val="0"/>
                  <c:spPr>
                    <a:gradFill>
                      <a:gsLst>
                        <a:gs pos="0">
                          <a:schemeClr val="accent6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80000"/>
                            </a:schemeClr>
                          </a:gs>
                          <a:gs pos="100000">
                            <a:schemeClr val="accent6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4"/>
                  <c:bubble3D val="0"/>
                  <c:spPr>
                    <a:gradFill>
                      <a:gsLst>
                        <a:gs pos="0">
                          <a:schemeClr val="accent1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1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5"/>
                  <c:bubble3D val="0"/>
                  <c:spPr>
                    <a:gradFill>
                      <a:gsLst>
                        <a:gs pos="0">
                          <a:schemeClr val="accent2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2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6"/>
                  <c:bubble3D val="0"/>
                  <c:spPr>
                    <a:gradFill>
                      <a:gsLst>
                        <a:gs pos="0">
                          <a:schemeClr val="accent3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3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7"/>
                  <c:bubble3D val="0"/>
                  <c:spPr>
                    <a:gradFill>
                      <a:gsLst>
                        <a:gs pos="0">
                          <a:schemeClr val="accent4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4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8"/>
                  <c:bubble3D val="0"/>
                  <c:spPr>
                    <a:gradFill>
                      <a:gsLst>
                        <a:gs pos="0">
                          <a:schemeClr val="accent5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5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9"/>
                  <c:bubble3D val="0"/>
                  <c:spPr>
                    <a:gradFill>
                      <a:gsLst>
                        <a:gs pos="0">
                          <a:schemeClr val="accent6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6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0"/>
                  <c:bubble3D val="0"/>
                  <c:spPr>
                    <a:gradFill>
                      <a:gsLst>
                        <a:gs pos="0">
                          <a:schemeClr val="accent1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50000"/>
                            </a:schemeClr>
                          </a:gs>
                          <a:gs pos="100000">
                            <a:schemeClr val="accent1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1"/>
                  <c:bubble3D val="0"/>
                  <c:spPr>
                    <a:gradFill>
                      <a:gsLst>
                        <a:gs pos="0">
                          <a:schemeClr val="accent2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50000"/>
                            </a:schemeClr>
                          </a:gs>
                          <a:gs pos="100000">
                            <a:schemeClr val="accent2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2"/>
                  <c:bubble3D val="0"/>
                  <c:spPr>
                    <a:gradFill>
                      <a:gsLst>
                        <a:gs pos="0">
                          <a:schemeClr val="accent3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50000"/>
                            </a:schemeClr>
                          </a:gs>
                          <a:gs pos="100000">
                            <a:schemeClr val="accent3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3"/>
                  <c:bubble3D val="0"/>
                  <c:spPr>
                    <a:gradFill>
                      <a:gsLst>
                        <a:gs pos="0">
                          <a:schemeClr val="accent4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50000"/>
                            </a:schemeClr>
                          </a:gs>
                          <a:gs pos="100000">
                            <a:schemeClr val="accent4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4"/>
                  <c:bubble3D val="0"/>
                  <c:spPr>
                    <a:gradFill>
                      <a:gsLst>
                        <a:gs pos="0">
                          <a:schemeClr val="accent5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50000"/>
                            </a:schemeClr>
                          </a:gs>
                          <a:gs pos="100000">
                            <a:schemeClr val="accent5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5"/>
                  <c:bubble3D val="0"/>
                  <c:spPr>
                    <a:gradFill>
                      <a:gsLst>
                        <a:gs pos="0">
                          <a:schemeClr val="accent6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50000"/>
                            </a:schemeClr>
                          </a:gs>
                          <a:gs pos="100000">
                            <a:schemeClr val="accent6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6"/>
                  <c:bubble3D val="0"/>
                  <c:spPr>
                    <a:gradFill>
                      <a:gsLst>
                        <a:gs pos="0">
                          <a:schemeClr val="accent1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1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7"/>
                  <c:bubble3D val="0"/>
                  <c:spPr>
                    <a:gradFill>
                      <a:gsLst>
                        <a:gs pos="0">
                          <a:schemeClr val="accent2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2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8"/>
                  <c:bubble3D val="0"/>
                  <c:spPr>
                    <a:gradFill>
                      <a:gsLst>
                        <a:gs pos="0">
                          <a:schemeClr val="accent3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3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9"/>
                  <c:bubble3D val="0"/>
                  <c:spPr>
                    <a:gradFill>
                      <a:gsLst>
                        <a:gs pos="0">
                          <a:schemeClr val="accent4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4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0"/>
                  <c:bubble3D val="0"/>
                  <c:spPr>
                    <a:gradFill>
                      <a:gsLst>
                        <a:gs pos="0">
                          <a:schemeClr val="accent5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5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1"/>
                  <c:bubble3D val="0"/>
                  <c:spPr>
                    <a:gradFill>
                      <a:gsLst>
                        <a:gs pos="0">
                          <a:schemeClr val="accent6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6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2"/>
                  <c:bubble3D val="0"/>
                  <c:spPr>
                    <a:gradFill>
                      <a:gsLst>
                        <a:gs pos="0">
                          <a:schemeClr val="accent1">
                            <a:lumMod val="7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70000"/>
                            </a:schemeClr>
                          </a:gs>
                          <a:gs pos="100000">
                            <a:schemeClr val="accent1">
                              <a:lumMod val="7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3"/>
                  <c:bubble3D val="0"/>
                  <c:spPr>
                    <a:gradFill>
                      <a:gsLst>
                        <a:gs pos="0">
                          <a:schemeClr val="accent2">
                            <a:lumMod val="7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70000"/>
                            </a:schemeClr>
                          </a:gs>
                          <a:gs pos="100000">
                            <a:schemeClr val="accent2">
                              <a:lumMod val="7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4"/>
                  <c:bubble3D val="0"/>
                  <c:spPr>
                    <a:gradFill>
                      <a:gsLst>
                        <a:gs pos="0">
                          <a:schemeClr val="accent3">
                            <a:lumMod val="7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70000"/>
                            </a:schemeClr>
                          </a:gs>
                          <a:gs pos="100000">
                            <a:schemeClr val="accent3">
                              <a:lumMod val="7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Lbls>
                  <c:dLbl>
                    <c:idx val="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5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6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7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8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9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5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6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7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8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9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5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6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7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8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9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5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6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7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8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9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1" i="0" u="none" strike="noStrike" kern="1200" spc="0" baseline="0">
                          <a:solidFill>
                            <a:schemeClr val="accent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'Food Waste Analysis'!$A$2:$A$46</c15:sqref>
                        </c15:formulaRef>
                      </c:ext>
                    </c:extLst>
                    <c:strCache>
                      <c:ptCount val="45"/>
                      <c:pt idx="0" c:formatCode="0.00_);[Red]\(0.00\)">
                        <c:v>Milk</c:v>
                      </c:pt>
                      <c:pt idx="1" c:formatCode="0.00_);[Red]\(0.00\)">
                        <c:v>Bread</c:v>
                      </c:pt>
                      <c:pt idx="2" c:formatCode="0.00_);[Red]\(0.00\)">
                        <c:v>Apples</c:v>
                      </c:pt>
                      <c:pt idx="3" c:formatCode="0.00_);[Red]\(0.00\)">
                        <c:v>Chicken</c:v>
                      </c:pt>
                      <c:pt idx="4" c:formatCode="0.00_);[Red]\(0.00\)">
                        <c:v>Rice</c:v>
                      </c:pt>
                      <c:pt idx="5" c:formatCode="0.00_);[Red]\(0.00\)">
                        <c:v>Potatoes</c:v>
                      </c:pt>
                      <c:pt idx="6" c:formatCode="0.00_);[Red]\(0.00\)">
                        <c:v>Eggs</c:v>
                      </c:pt>
                      <c:pt idx="7" c:formatCode="0.00_);[Red]\(0.00\)">
                        <c:v>Fish</c:v>
                      </c:pt>
                      <c:pt idx="8" c:formatCode="0.00_);[Red]\(0.00\)">
                        <c:v>Bananas</c:v>
                      </c:pt>
                      <c:pt idx="9" c:formatCode="0.00_);[Red]\(0.00\)">
                        <c:v>Onions</c:v>
                      </c:pt>
                      <c:pt idx="10" c:formatCode="0.00_);[Red]\(0.00\)">
                        <c:v>Tomatoes</c:v>
                      </c:pt>
                      <c:pt idx="11" c:formatCode="0.00_);[Red]\(0.00\)">
                        <c:v>Cheese</c:v>
                      </c:pt>
                      <c:pt idx="12" c:formatCode="0.00_);[Red]\(0.00\)">
                        <c:v>Yogurt</c:v>
                      </c:pt>
                      <c:pt idx="13" c:formatCode="0.00_);[Red]\(0.00\)">
                        <c:v>Spinach</c:v>
                      </c:pt>
                      <c:pt idx="14" c:formatCode="0.00_);[Red]\(0.00\)">
                        <c:v>Beef</c:v>
                      </c:pt>
                      <c:pt idx="15" c:formatCode="0.00_);[Red]\(0.00\)">
                        <c:v>Oranges</c:v>
                      </c:pt>
                      <c:pt idx="16" c:formatCode="0.00_);[Red]\(0.00\)">
                        <c:v>Grapes</c:v>
                      </c:pt>
                      <c:pt idx="17" c:formatCode="0.00_);[Red]\(0.00\)">
                        <c:v>Lettuce</c:v>
                      </c:pt>
                      <c:pt idx="18" c:formatCode="0.00_);[Red]\(0.00\)">
                        <c:v>Carrots</c:v>
                      </c:pt>
                      <c:pt idx="19" c:formatCode="0.00_);[Red]\(0.00\)">
                        <c:v>Peas</c:v>
                      </c:pt>
                      <c:pt idx="20" c:formatCode="0.00_);[Red]\(0.00\)">
                        <c:v>Beans</c:v>
                      </c:pt>
                      <c:pt idx="21" c:formatCode="0.00_);[Red]\(0.00\)">
                        <c:v>Pasta</c:v>
                      </c:pt>
                      <c:pt idx="22" c:formatCode="0.00_);[Red]\(0.00\)">
                        <c:v>Lentils</c:v>
                      </c:pt>
                      <c:pt idx="23" c:formatCode="0.00_);[Red]\(0.00\)">
                        <c:v>Watermelon</c:v>
                      </c:pt>
                      <c:pt idx="24" c:formatCode="0.00_);[Red]\(0.00\)">
                        <c:v>Cucumber</c:v>
                      </c:pt>
                      <c:pt idx="25" c:formatCode="0.00_);[Red]\(0.00\)">
                        <c:v>Pork</c:v>
                      </c:pt>
                      <c:pt idx="26" c:formatCode="0.00_);[Red]\(0.00\)">
                        <c:v>Peaches</c:v>
                      </c:pt>
                      <c:pt idx="27" c:formatCode="0.00_);[Red]\(0.00\)">
                        <c:v>Strawberries</c:v>
                      </c:pt>
                      <c:pt idx="28" c:formatCode="0.00_);[Red]\(0.00\)">
                        <c:v>Butter</c:v>
                      </c:pt>
                      <c:pt idx="29" c:formatCode="0.00_);[Red]\(0.00\)">
                        <c:v>Oil</c:v>
                      </c:pt>
                      <c:pt idx="30" c:formatCode="0.00_);[Red]\(0.00\)">
                        <c:v>Sugar</c:v>
                      </c:pt>
                      <c:pt idx="31" c:formatCode="0.00_);[Red]\(0.00\)">
                        <c:v>Salt</c:v>
                      </c:pt>
                      <c:pt idx="32" c:formatCode="0.00_);[Red]\(0.00\)">
                        <c:v>Mushrooms</c:v>
                      </c:pt>
                      <c:pt idx="33" c:formatCode="0.00_);[Red]\(0.00\)">
                        <c:v>Corn</c:v>
                      </c:pt>
                      <c:pt idx="34" c:formatCode="0.00_);[Red]\(0.00\)">
                        <c:v>Zucchini</c:v>
                      </c:pt>
                      <c:pt idx="35" c:formatCode="0.00_);[Red]\(0.00\)">
                        <c:v>Pineapple</c:v>
                      </c:pt>
                      <c:pt idx="36" c:formatCode="0.00_);[Red]\(0.00\)">
                        <c:v>Chocolate</c:v>
                      </c:pt>
                      <c:pt idx="37" c:formatCode="0.00_);[Red]\(0.00\)">
                        <c:v>Ice Cream</c:v>
                      </c:pt>
                      <c:pt idx="38" c:formatCode="0.00_);[Red]\(0.00\)">
                        <c:v>Coffee</c:v>
                      </c:pt>
                      <c:pt idx="39" c:formatCode="0.00_);[Red]\(0.00\)">
                        <c:v>Tea</c:v>
                      </c:pt>
                      <c:pt idx="40" c:formatCode="0.00_);[Red]\(0.00\)">
                        <c:v>Flour</c:v>
                      </c:pt>
                      <c:pt idx="41" c:formatCode="0.00_);[Red]\(0.00\)">
                        <c:v>Baking Powder</c:v>
                      </c:pt>
                      <c:pt idx="42" c:formatCode="0.00_);[Red]\(0.00\)">
                        <c:v>Honey</c:v>
                      </c:pt>
                      <c:pt idx="43" c:formatCode="0.00_);[Red]\(0.00\)">
                        <c:v>Nuts</c:v>
                      </c:pt>
                      <c:pt idx="44" c:formatCode="0.00_);[Red]\(0.00\)">
                        <c:v>Seeds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'Food Waste Analysis'!$C$2:$C$46</c15:sqref>
                        </c15:formulaRef>
                      </c:ext>
                    </c:extLst>
                    <c:numCache>
                      <c:formatCode>0.00_);[Red]\(0.00\)</c:formatCode>
                      <c:ptCount val="45"/>
                      <c:pt idx="0">
                        <c:v>1.5</c:v>
                      </c:pt>
                      <c:pt idx="1">
                        <c:v>4</c:v>
                      </c:pt>
                      <c:pt idx="2">
                        <c:v>2</c:v>
                      </c:pt>
                      <c:pt idx="3">
                        <c:v>1.5</c:v>
                      </c:pt>
                      <c:pt idx="4">
                        <c:v>3</c:v>
                      </c:pt>
                      <c:pt idx="5">
                        <c:v>5</c:v>
                      </c:pt>
                      <c:pt idx="6">
                        <c:v>10</c:v>
                      </c:pt>
                      <c:pt idx="7">
                        <c:v>2.5</c:v>
                      </c:pt>
                      <c:pt idx="8">
                        <c:v>1.5</c:v>
                      </c:pt>
                      <c:pt idx="9">
                        <c:v>3</c:v>
                      </c:pt>
                      <c:pt idx="10">
                        <c:v>4.5</c:v>
                      </c:pt>
                      <c:pt idx="11">
                        <c:v>0.8</c:v>
                      </c:pt>
                      <c:pt idx="12">
                        <c:v>1.8</c:v>
                      </c:pt>
                      <c:pt idx="13">
                        <c:v>0.8</c:v>
                      </c:pt>
                      <c:pt idx="14">
                        <c:v>2.7</c:v>
                      </c:pt>
                      <c:pt idx="15">
                        <c:v>1.8</c:v>
                      </c:pt>
                      <c:pt idx="16">
                        <c:v>1.2</c:v>
                      </c:pt>
                      <c:pt idx="17">
                        <c:v>0.7</c:v>
                      </c:pt>
                      <c:pt idx="18">
                        <c:v>2.5</c:v>
                      </c:pt>
                      <c:pt idx="19">
                        <c:v>1.5</c:v>
                      </c:pt>
                      <c:pt idx="20">
                        <c:v>2.8</c:v>
                      </c:pt>
                      <c:pt idx="21">
                        <c:v>3.5</c:v>
                      </c:pt>
                      <c:pt idx="22">
                        <c:v>1.8</c:v>
                      </c:pt>
                      <c:pt idx="23">
                        <c:v>4.5</c:v>
                      </c:pt>
                      <c:pt idx="24">
                        <c:v>2.5</c:v>
                      </c:pt>
                      <c:pt idx="25">
                        <c:v>3.8</c:v>
                      </c:pt>
                      <c:pt idx="26">
                        <c:v>1.8</c:v>
                      </c:pt>
                      <c:pt idx="27">
                        <c:v>1.2</c:v>
                      </c:pt>
                      <c:pt idx="28">
                        <c:v>0.8</c:v>
                      </c:pt>
                      <c:pt idx="29">
                        <c:v>2.8</c:v>
                      </c:pt>
                      <c:pt idx="30">
                        <c:v>1.8</c:v>
                      </c:pt>
                      <c:pt idx="31">
                        <c:v>0.9</c:v>
                      </c:pt>
                      <c:pt idx="32">
                        <c:v>0.8</c:v>
                      </c:pt>
                      <c:pt idx="33">
                        <c:v>1.5</c:v>
                      </c:pt>
                      <c:pt idx="34">
                        <c:v>1.2</c:v>
                      </c:pt>
                      <c:pt idx="35">
                        <c:v>1.8</c:v>
                      </c:pt>
                      <c:pt idx="36">
                        <c:v>0.9</c:v>
                      </c:pt>
                      <c:pt idx="37">
                        <c:v>1.8</c:v>
                      </c:pt>
                      <c:pt idx="38">
                        <c:v>0.9</c:v>
                      </c:pt>
                      <c:pt idx="39">
                        <c:v>0.4</c:v>
                      </c:pt>
                      <c:pt idx="40">
                        <c:v>3.8</c:v>
                      </c:pt>
                      <c:pt idx="41">
                        <c:v>0.4</c:v>
                      </c:pt>
                      <c:pt idx="42">
                        <c:v>0.9</c:v>
                      </c:pt>
                      <c:pt idx="43">
                        <c:v>1.4</c:v>
                      </c:pt>
                      <c:pt idx="44">
                        <c:v>0.8</c:v>
                      </c:pt>
                    </c:numCache>
                  </c:numRef>
                </c:val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'Food Waste Analysis'!$D$1</c15:sqref>
                        </c15:formulaRef>
                      </c:ext>
                    </c:extLst>
                    <c:strCache>
                      <c:ptCount val="1"/>
                      <c:pt idx="0">
                        <c:v>Wasted Quantity (kg)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0">
                          <a:schemeClr val="accent1">
                            <a:lumMod val="40000"/>
                            <a:lumOff val="60000"/>
                          </a:schemeClr>
                        </a:gs>
                        <a:gs pos="90000">
                          <a:schemeClr val="accent1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/>
                          </a:gs>
                          <a:gs pos="100000">
                            <a:schemeClr val="accent1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0">
                          <a:schemeClr val="accent2">
                            <a:lumMod val="40000"/>
                            <a:lumOff val="60000"/>
                          </a:schemeClr>
                        </a:gs>
                        <a:gs pos="90000">
                          <a:schemeClr val="accent2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/>
                          </a:gs>
                          <a:gs pos="100000">
                            <a:schemeClr val="accent2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0">
                          <a:schemeClr val="accent3">
                            <a:lumMod val="40000"/>
                            <a:lumOff val="60000"/>
                          </a:schemeClr>
                        </a:gs>
                        <a:gs pos="90000">
                          <a:schemeClr val="accent3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/>
                          </a:gs>
                          <a:gs pos="100000">
                            <a:schemeClr val="accent3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0">
                          <a:schemeClr val="accent4">
                            <a:lumMod val="40000"/>
                            <a:lumOff val="60000"/>
                          </a:schemeClr>
                        </a:gs>
                        <a:gs pos="90000">
                          <a:schemeClr val="accent4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/>
                          </a:gs>
                          <a:gs pos="100000">
                            <a:schemeClr val="accent4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0">
                          <a:schemeClr val="accent5">
                            <a:lumMod val="40000"/>
                            <a:lumOff val="60000"/>
                          </a:schemeClr>
                        </a:gs>
                        <a:gs pos="90000">
                          <a:schemeClr val="accent5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/>
                          </a:gs>
                          <a:gs pos="100000">
                            <a:schemeClr val="accent5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0">
                          <a:schemeClr val="accent6">
                            <a:lumMod val="40000"/>
                            <a:lumOff val="60000"/>
                          </a:schemeClr>
                        </a:gs>
                        <a:gs pos="90000">
                          <a:schemeClr val="accent6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/>
                          </a:gs>
                          <a:gs pos="100000">
                            <a:schemeClr val="accent6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6"/>
                  <c:bubble3D val="0"/>
                  <c:spPr>
                    <a:gradFill>
                      <a:gsLst>
                        <a:gs pos="0">
                          <a:schemeClr val="accent1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60000"/>
                            </a:schemeClr>
                          </a:gs>
                          <a:gs pos="100000">
                            <a:schemeClr val="accent1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7"/>
                  <c:bubble3D val="0"/>
                  <c:spPr>
                    <a:gradFill>
                      <a:gsLst>
                        <a:gs pos="0">
                          <a:schemeClr val="accent2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60000"/>
                            </a:schemeClr>
                          </a:gs>
                          <a:gs pos="100000">
                            <a:schemeClr val="accent2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8"/>
                  <c:bubble3D val="0"/>
                  <c:spPr>
                    <a:gradFill>
                      <a:gsLst>
                        <a:gs pos="0">
                          <a:schemeClr val="accent3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60000"/>
                            </a:schemeClr>
                          </a:gs>
                          <a:gs pos="100000">
                            <a:schemeClr val="accent3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9"/>
                  <c:bubble3D val="0"/>
                  <c:spPr>
                    <a:gradFill>
                      <a:gsLst>
                        <a:gs pos="0">
                          <a:schemeClr val="accent4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60000"/>
                            </a:schemeClr>
                          </a:gs>
                          <a:gs pos="100000">
                            <a:schemeClr val="accent4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0"/>
                  <c:bubble3D val="0"/>
                  <c:spPr>
                    <a:gradFill>
                      <a:gsLst>
                        <a:gs pos="0">
                          <a:schemeClr val="accent5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60000"/>
                            </a:schemeClr>
                          </a:gs>
                          <a:gs pos="100000">
                            <a:schemeClr val="accent5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1"/>
                  <c:bubble3D val="0"/>
                  <c:spPr>
                    <a:gradFill>
                      <a:gsLst>
                        <a:gs pos="0">
                          <a:schemeClr val="accent6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60000"/>
                            </a:schemeClr>
                          </a:gs>
                          <a:gs pos="100000">
                            <a:schemeClr val="accent6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2"/>
                  <c:bubble3D val="0"/>
                  <c:spPr>
                    <a:gradFill>
                      <a:gsLst>
                        <a:gs pos="0">
                          <a:schemeClr val="accent1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1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3"/>
                  <c:bubble3D val="0"/>
                  <c:spPr>
                    <a:gradFill>
                      <a:gsLst>
                        <a:gs pos="0">
                          <a:schemeClr val="accent2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2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4"/>
                  <c:bubble3D val="0"/>
                  <c:spPr>
                    <a:gradFill>
                      <a:gsLst>
                        <a:gs pos="0">
                          <a:schemeClr val="accent3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3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5"/>
                  <c:bubble3D val="0"/>
                  <c:spPr>
                    <a:gradFill>
                      <a:gsLst>
                        <a:gs pos="0">
                          <a:schemeClr val="accent4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4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6"/>
                  <c:bubble3D val="0"/>
                  <c:spPr>
                    <a:gradFill>
                      <a:gsLst>
                        <a:gs pos="0">
                          <a:schemeClr val="accent5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5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7"/>
                  <c:bubble3D val="0"/>
                  <c:spPr>
                    <a:gradFill>
                      <a:gsLst>
                        <a:gs pos="0">
                          <a:schemeClr val="accent6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6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8"/>
                  <c:bubble3D val="0"/>
                  <c:spPr>
                    <a:gradFill>
                      <a:gsLst>
                        <a:gs pos="0">
                          <a:schemeClr val="accent1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80000"/>
                            </a:schemeClr>
                          </a:gs>
                          <a:gs pos="100000">
                            <a:schemeClr val="accent1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9"/>
                  <c:bubble3D val="0"/>
                  <c:spPr>
                    <a:gradFill>
                      <a:gsLst>
                        <a:gs pos="0">
                          <a:schemeClr val="accent2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80000"/>
                            </a:schemeClr>
                          </a:gs>
                          <a:gs pos="100000">
                            <a:schemeClr val="accent2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0"/>
                  <c:bubble3D val="0"/>
                  <c:spPr>
                    <a:gradFill>
                      <a:gsLst>
                        <a:gs pos="0">
                          <a:schemeClr val="accent3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80000"/>
                            </a:schemeClr>
                          </a:gs>
                          <a:gs pos="100000">
                            <a:schemeClr val="accent3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1"/>
                  <c:bubble3D val="0"/>
                  <c:spPr>
                    <a:gradFill>
                      <a:gsLst>
                        <a:gs pos="0">
                          <a:schemeClr val="accent4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80000"/>
                            </a:schemeClr>
                          </a:gs>
                          <a:gs pos="100000">
                            <a:schemeClr val="accent4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2"/>
                  <c:bubble3D val="0"/>
                  <c:spPr>
                    <a:gradFill>
                      <a:gsLst>
                        <a:gs pos="0">
                          <a:schemeClr val="accent5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80000"/>
                            </a:schemeClr>
                          </a:gs>
                          <a:gs pos="100000">
                            <a:schemeClr val="accent5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3"/>
                  <c:bubble3D val="0"/>
                  <c:spPr>
                    <a:gradFill>
                      <a:gsLst>
                        <a:gs pos="0">
                          <a:schemeClr val="accent6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80000"/>
                            </a:schemeClr>
                          </a:gs>
                          <a:gs pos="100000">
                            <a:schemeClr val="accent6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4"/>
                  <c:bubble3D val="0"/>
                  <c:spPr>
                    <a:gradFill>
                      <a:gsLst>
                        <a:gs pos="0">
                          <a:schemeClr val="accent1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1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5"/>
                  <c:bubble3D val="0"/>
                  <c:spPr>
                    <a:gradFill>
                      <a:gsLst>
                        <a:gs pos="0">
                          <a:schemeClr val="accent2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2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6"/>
                  <c:bubble3D val="0"/>
                  <c:spPr>
                    <a:gradFill>
                      <a:gsLst>
                        <a:gs pos="0">
                          <a:schemeClr val="accent3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3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7"/>
                  <c:bubble3D val="0"/>
                  <c:spPr>
                    <a:gradFill>
                      <a:gsLst>
                        <a:gs pos="0">
                          <a:schemeClr val="accent4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4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8"/>
                  <c:bubble3D val="0"/>
                  <c:spPr>
                    <a:gradFill>
                      <a:gsLst>
                        <a:gs pos="0">
                          <a:schemeClr val="accent5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5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9"/>
                  <c:bubble3D val="0"/>
                  <c:spPr>
                    <a:gradFill>
                      <a:gsLst>
                        <a:gs pos="0">
                          <a:schemeClr val="accent6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6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0"/>
                  <c:bubble3D val="0"/>
                  <c:spPr>
                    <a:gradFill>
                      <a:gsLst>
                        <a:gs pos="0">
                          <a:schemeClr val="accent1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50000"/>
                            </a:schemeClr>
                          </a:gs>
                          <a:gs pos="100000">
                            <a:schemeClr val="accent1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1"/>
                  <c:bubble3D val="0"/>
                  <c:spPr>
                    <a:gradFill>
                      <a:gsLst>
                        <a:gs pos="0">
                          <a:schemeClr val="accent2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50000"/>
                            </a:schemeClr>
                          </a:gs>
                          <a:gs pos="100000">
                            <a:schemeClr val="accent2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2"/>
                  <c:bubble3D val="0"/>
                  <c:spPr>
                    <a:gradFill>
                      <a:gsLst>
                        <a:gs pos="0">
                          <a:schemeClr val="accent3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50000"/>
                            </a:schemeClr>
                          </a:gs>
                          <a:gs pos="100000">
                            <a:schemeClr val="accent3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3"/>
                  <c:bubble3D val="0"/>
                  <c:spPr>
                    <a:gradFill>
                      <a:gsLst>
                        <a:gs pos="0">
                          <a:schemeClr val="accent4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50000"/>
                            </a:schemeClr>
                          </a:gs>
                          <a:gs pos="100000">
                            <a:schemeClr val="accent4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4"/>
                  <c:bubble3D val="0"/>
                  <c:spPr>
                    <a:gradFill>
                      <a:gsLst>
                        <a:gs pos="0">
                          <a:schemeClr val="accent5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50000"/>
                            </a:schemeClr>
                          </a:gs>
                          <a:gs pos="100000">
                            <a:schemeClr val="accent5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5"/>
                  <c:bubble3D val="0"/>
                  <c:spPr>
                    <a:gradFill>
                      <a:gsLst>
                        <a:gs pos="0">
                          <a:schemeClr val="accent6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50000"/>
                            </a:schemeClr>
                          </a:gs>
                          <a:gs pos="100000">
                            <a:schemeClr val="accent6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6"/>
                  <c:bubble3D val="0"/>
                  <c:spPr>
                    <a:gradFill>
                      <a:gsLst>
                        <a:gs pos="0">
                          <a:schemeClr val="accent1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1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7"/>
                  <c:bubble3D val="0"/>
                  <c:spPr>
                    <a:gradFill>
                      <a:gsLst>
                        <a:gs pos="0">
                          <a:schemeClr val="accent2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2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8"/>
                  <c:bubble3D val="0"/>
                  <c:spPr>
                    <a:gradFill>
                      <a:gsLst>
                        <a:gs pos="0">
                          <a:schemeClr val="accent3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3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9"/>
                  <c:bubble3D val="0"/>
                  <c:spPr>
                    <a:gradFill>
                      <a:gsLst>
                        <a:gs pos="0">
                          <a:schemeClr val="accent4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4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0"/>
                  <c:bubble3D val="0"/>
                  <c:spPr>
                    <a:gradFill>
                      <a:gsLst>
                        <a:gs pos="0">
                          <a:schemeClr val="accent5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5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1"/>
                  <c:bubble3D val="0"/>
                  <c:spPr>
                    <a:gradFill>
                      <a:gsLst>
                        <a:gs pos="0">
                          <a:schemeClr val="accent6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6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2"/>
                  <c:bubble3D val="0"/>
                  <c:spPr>
                    <a:gradFill>
                      <a:gsLst>
                        <a:gs pos="0">
                          <a:schemeClr val="accent1">
                            <a:lumMod val="7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70000"/>
                            </a:schemeClr>
                          </a:gs>
                          <a:gs pos="100000">
                            <a:schemeClr val="accent1">
                              <a:lumMod val="7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3"/>
                  <c:bubble3D val="0"/>
                  <c:spPr>
                    <a:gradFill>
                      <a:gsLst>
                        <a:gs pos="0">
                          <a:schemeClr val="accent2">
                            <a:lumMod val="7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70000"/>
                            </a:schemeClr>
                          </a:gs>
                          <a:gs pos="100000">
                            <a:schemeClr val="accent2">
                              <a:lumMod val="7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4"/>
                  <c:bubble3D val="0"/>
                  <c:spPr>
                    <a:gradFill>
                      <a:gsLst>
                        <a:gs pos="0">
                          <a:schemeClr val="accent3">
                            <a:lumMod val="7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70000"/>
                            </a:schemeClr>
                          </a:gs>
                          <a:gs pos="100000">
                            <a:schemeClr val="accent3">
                              <a:lumMod val="7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Lbls>
                  <c:dLbl>
                    <c:idx val="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5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6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7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8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9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5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6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7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8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9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5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6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7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8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9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5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6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7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8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9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1" i="0" u="none" strike="noStrike" kern="1200" spc="0" baseline="0">
                          <a:solidFill>
                            <a:schemeClr val="accent3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'Food Waste Analysis'!$A$2:$A$46</c15:sqref>
                        </c15:formulaRef>
                      </c:ext>
                    </c:extLst>
                    <c:strCache>
                      <c:ptCount val="45"/>
                      <c:pt idx="0" c:formatCode="0.00_);[Red]\(0.00\)">
                        <c:v>Milk</c:v>
                      </c:pt>
                      <c:pt idx="1" c:formatCode="0.00_);[Red]\(0.00\)">
                        <c:v>Bread</c:v>
                      </c:pt>
                      <c:pt idx="2" c:formatCode="0.00_);[Red]\(0.00\)">
                        <c:v>Apples</c:v>
                      </c:pt>
                      <c:pt idx="3" c:formatCode="0.00_);[Red]\(0.00\)">
                        <c:v>Chicken</c:v>
                      </c:pt>
                      <c:pt idx="4" c:formatCode="0.00_);[Red]\(0.00\)">
                        <c:v>Rice</c:v>
                      </c:pt>
                      <c:pt idx="5" c:formatCode="0.00_);[Red]\(0.00\)">
                        <c:v>Potatoes</c:v>
                      </c:pt>
                      <c:pt idx="6" c:formatCode="0.00_);[Red]\(0.00\)">
                        <c:v>Eggs</c:v>
                      </c:pt>
                      <c:pt idx="7" c:formatCode="0.00_);[Red]\(0.00\)">
                        <c:v>Fish</c:v>
                      </c:pt>
                      <c:pt idx="8" c:formatCode="0.00_);[Red]\(0.00\)">
                        <c:v>Bananas</c:v>
                      </c:pt>
                      <c:pt idx="9" c:formatCode="0.00_);[Red]\(0.00\)">
                        <c:v>Onions</c:v>
                      </c:pt>
                      <c:pt idx="10" c:formatCode="0.00_);[Red]\(0.00\)">
                        <c:v>Tomatoes</c:v>
                      </c:pt>
                      <c:pt idx="11" c:formatCode="0.00_);[Red]\(0.00\)">
                        <c:v>Cheese</c:v>
                      </c:pt>
                      <c:pt idx="12" c:formatCode="0.00_);[Red]\(0.00\)">
                        <c:v>Yogurt</c:v>
                      </c:pt>
                      <c:pt idx="13" c:formatCode="0.00_);[Red]\(0.00\)">
                        <c:v>Spinach</c:v>
                      </c:pt>
                      <c:pt idx="14" c:formatCode="0.00_);[Red]\(0.00\)">
                        <c:v>Beef</c:v>
                      </c:pt>
                      <c:pt idx="15" c:formatCode="0.00_);[Red]\(0.00\)">
                        <c:v>Oranges</c:v>
                      </c:pt>
                      <c:pt idx="16" c:formatCode="0.00_);[Red]\(0.00\)">
                        <c:v>Grapes</c:v>
                      </c:pt>
                      <c:pt idx="17" c:formatCode="0.00_);[Red]\(0.00\)">
                        <c:v>Lettuce</c:v>
                      </c:pt>
                      <c:pt idx="18" c:formatCode="0.00_);[Red]\(0.00\)">
                        <c:v>Carrots</c:v>
                      </c:pt>
                      <c:pt idx="19" c:formatCode="0.00_);[Red]\(0.00\)">
                        <c:v>Peas</c:v>
                      </c:pt>
                      <c:pt idx="20" c:formatCode="0.00_);[Red]\(0.00\)">
                        <c:v>Beans</c:v>
                      </c:pt>
                      <c:pt idx="21" c:formatCode="0.00_);[Red]\(0.00\)">
                        <c:v>Pasta</c:v>
                      </c:pt>
                      <c:pt idx="22" c:formatCode="0.00_);[Red]\(0.00\)">
                        <c:v>Lentils</c:v>
                      </c:pt>
                      <c:pt idx="23" c:formatCode="0.00_);[Red]\(0.00\)">
                        <c:v>Watermelon</c:v>
                      </c:pt>
                      <c:pt idx="24" c:formatCode="0.00_);[Red]\(0.00\)">
                        <c:v>Cucumber</c:v>
                      </c:pt>
                      <c:pt idx="25" c:formatCode="0.00_);[Red]\(0.00\)">
                        <c:v>Pork</c:v>
                      </c:pt>
                      <c:pt idx="26" c:formatCode="0.00_);[Red]\(0.00\)">
                        <c:v>Peaches</c:v>
                      </c:pt>
                      <c:pt idx="27" c:formatCode="0.00_);[Red]\(0.00\)">
                        <c:v>Strawberries</c:v>
                      </c:pt>
                      <c:pt idx="28" c:formatCode="0.00_);[Red]\(0.00\)">
                        <c:v>Butter</c:v>
                      </c:pt>
                      <c:pt idx="29" c:formatCode="0.00_);[Red]\(0.00\)">
                        <c:v>Oil</c:v>
                      </c:pt>
                      <c:pt idx="30" c:formatCode="0.00_);[Red]\(0.00\)">
                        <c:v>Sugar</c:v>
                      </c:pt>
                      <c:pt idx="31" c:formatCode="0.00_);[Red]\(0.00\)">
                        <c:v>Salt</c:v>
                      </c:pt>
                      <c:pt idx="32" c:formatCode="0.00_);[Red]\(0.00\)">
                        <c:v>Mushrooms</c:v>
                      </c:pt>
                      <c:pt idx="33" c:formatCode="0.00_);[Red]\(0.00\)">
                        <c:v>Corn</c:v>
                      </c:pt>
                      <c:pt idx="34" c:formatCode="0.00_);[Red]\(0.00\)">
                        <c:v>Zucchini</c:v>
                      </c:pt>
                      <c:pt idx="35" c:formatCode="0.00_);[Red]\(0.00\)">
                        <c:v>Pineapple</c:v>
                      </c:pt>
                      <c:pt idx="36" c:formatCode="0.00_);[Red]\(0.00\)">
                        <c:v>Chocolate</c:v>
                      </c:pt>
                      <c:pt idx="37" c:formatCode="0.00_);[Red]\(0.00\)">
                        <c:v>Ice Cream</c:v>
                      </c:pt>
                      <c:pt idx="38" c:formatCode="0.00_);[Red]\(0.00\)">
                        <c:v>Coffee</c:v>
                      </c:pt>
                      <c:pt idx="39" c:formatCode="0.00_);[Red]\(0.00\)">
                        <c:v>Tea</c:v>
                      </c:pt>
                      <c:pt idx="40" c:formatCode="0.00_);[Red]\(0.00\)">
                        <c:v>Flour</c:v>
                      </c:pt>
                      <c:pt idx="41" c:formatCode="0.00_);[Red]\(0.00\)">
                        <c:v>Baking Powder</c:v>
                      </c:pt>
                      <c:pt idx="42" c:formatCode="0.00_);[Red]\(0.00\)">
                        <c:v>Honey</c:v>
                      </c:pt>
                      <c:pt idx="43" c:formatCode="0.00_);[Red]\(0.00\)">
                        <c:v>Nuts</c:v>
                      </c:pt>
                      <c:pt idx="44" c:formatCode="0.00_);[Red]\(0.00\)">
                        <c:v>Seeds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'Food Waste Analysis'!$D$2:$D$46</c15:sqref>
                        </c15:formulaRef>
                      </c:ext>
                    </c:extLst>
                    <c:numCache>
                      <c:formatCode>0.00_);[Red]\(0.00\)</c:formatCode>
                      <c:ptCount val="45"/>
                      <c:pt idx="0">
                        <c:v>0.5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0.5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0.5</c:v>
                      </c:pt>
                      <c:pt idx="8">
                        <c:v>0.5</c:v>
                      </c:pt>
                      <c:pt idx="9">
                        <c:v>1</c:v>
                      </c:pt>
                      <c:pt idx="10">
                        <c:v>0.5</c:v>
                      </c:pt>
                      <c:pt idx="11">
                        <c:v>0.2</c:v>
                      </c:pt>
                      <c:pt idx="12">
                        <c:v>0.2</c:v>
                      </c:pt>
                      <c:pt idx="13">
                        <c:v>0.2</c:v>
                      </c:pt>
                      <c:pt idx="14">
                        <c:v>0.3</c:v>
                      </c:pt>
                      <c:pt idx="15">
                        <c:v>0.2</c:v>
                      </c:pt>
                      <c:pt idx="16">
                        <c:v>0.3</c:v>
                      </c:pt>
                      <c:pt idx="17">
                        <c:v>0.3</c:v>
                      </c:pt>
                      <c:pt idx="18">
                        <c:v>0.5</c:v>
                      </c:pt>
                      <c:pt idx="19">
                        <c:v>0.5</c:v>
                      </c:pt>
                      <c:pt idx="20">
                        <c:v>0.2</c:v>
                      </c:pt>
                      <c:pt idx="21">
                        <c:v>0.5</c:v>
                      </c:pt>
                      <c:pt idx="22">
                        <c:v>0.2</c:v>
                      </c:pt>
                      <c:pt idx="23">
                        <c:v>0.5</c:v>
                      </c:pt>
                      <c:pt idx="24">
                        <c:v>0.5</c:v>
                      </c:pt>
                      <c:pt idx="25">
                        <c:v>0.2</c:v>
                      </c:pt>
                      <c:pt idx="26">
                        <c:v>0.2</c:v>
                      </c:pt>
                      <c:pt idx="27">
                        <c:v>0.3</c:v>
                      </c:pt>
                      <c:pt idx="28">
                        <c:v>0.2</c:v>
                      </c:pt>
                      <c:pt idx="29">
                        <c:v>0.2</c:v>
                      </c:pt>
                      <c:pt idx="30">
                        <c:v>0.2</c:v>
                      </c:pt>
                      <c:pt idx="31">
                        <c:v>0.1</c:v>
                      </c:pt>
                      <c:pt idx="32">
                        <c:v>0.2</c:v>
                      </c:pt>
                      <c:pt idx="33">
                        <c:v>0.5</c:v>
                      </c:pt>
                      <c:pt idx="34">
                        <c:v>0.3</c:v>
                      </c:pt>
                      <c:pt idx="35">
                        <c:v>0.2</c:v>
                      </c:pt>
                      <c:pt idx="36">
                        <c:v>0.1</c:v>
                      </c:pt>
                      <c:pt idx="37">
                        <c:v>0.2</c:v>
                      </c:pt>
                      <c:pt idx="38">
                        <c:v>0.1</c:v>
                      </c:pt>
                      <c:pt idx="39">
                        <c:v>0.1</c:v>
                      </c:pt>
                      <c:pt idx="40">
                        <c:v>0.2</c:v>
                      </c:pt>
                      <c:pt idx="41">
                        <c:v>0.1</c:v>
                      </c:pt>
                      <c:pt idx="42">
                        <c:v>0.1</c:v>
                      </c:pt>
                      <c:pt idx="43">
                        <c:v>0.1</c:v>
                      </c:pt>
                      <c:pt idx="44">
                        <c:v>0.2</c:v>
                      </c:pt>
                    </c:numCache>
                  </c:numRef>
                </c:val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'Food Waste Analysis'!$E$1</c15:sqref>
                        </c15:formulaRef>
                      </c:ext>
                    </c:extLst>
                    <c:strCache>
                      <c:ptCount val="1"/>
                      <c:pt idx="0">
                        <c:v>Purchase Frequency (per week)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0">
                          <a:schemeClr val="accent1">
                            <a:lumMod val="40000"/>
                            <a:lumOff val="60000"/>
                          </a:schemeClr>
                        </a:gs>
                        <a:gs pos="90000">
                          <a:schemeClr val="accent1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/>
                          </a:gs>
                          <a:gs pos="100000">
                            <a:schemeClr val="accent1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"/>
                  <c:bubble3D val="0"/>
                  <c:spPr>
                    <a:gradFill>
                      <a:gsLst>
                        <a:gs pos="0">
                          <a:schemeClr val="accent2">
                            <a:lumMod val="40000"/>
                            <a:lumOff val="60000"/>
                          </a:schemeClr>
                        </a:gs>
                        <a:gs pos="90000">
                          <a:schemeClr val="accent2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/>
                          </a:gs>
                          <a:gs pos="100000">
                            <a:schemeClr val="accent2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"/>
                  <c:bubble3D val="0"/>
                  <c:spPr>
                    <a:gradFill>
                      <a:gsLst>
                        <a:gs pos="0">
                          <a:schemeClr val="accent3">
                            <a:lumMod val="40000"/>
                            <a:lumOff val="60000"/>
                          </a:schemeClr>
                        </a:gs>
                        <a:gs pos="90000">
                          <a:schemeClr val="accent3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/>
                          </a:gs>
                          <a:gs pos="100000">
                            <a:schemeClr val="accent3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"/>
                  <c:bubble3D val="0"/>
                  <c:spPr>
                    <a:gradFill>
                      <a:gsLst>
                        <a:gs pos="0">
                          <a:schemeClr val="accent4">
                            <a:lumMod val="40000"/>
                            <a:lumOff val="60000"/>
                          </a:schemeClr>
                        </a:gs>
                        <a:gs pos="90000">
                          <a:schemeClr val="accent4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/>
                          </a:gs>
                          <a:gs pos="100000">
                            <a:schemeClr val="accent4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"/>
                  <c:bubble3D val="0"/>
                  <c:spPr>
                    <a:gradFill>
                      <a:gsLst>
                        <a:gs pos="0">
                          <a:schemeClr val="accent5">
                            <a:lumMod val="40000"/>
                            <a:lumOff val="60000"/>
                          </a:schemeClr>
                        </a:gs>
                        <a:gs pos="90000">
                          <a:schemeClr val="accent5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/>
                          </a:gs>
                          <a:gs pos="100000">
                            <a:schemeClr val="accent5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5"/>
                  <c:bubble3D val="0"/>
                  <c:spPr>
                    <a:gradFill>
                      <a:gsLst>
                        <a:gs pos="0">
                          <a:schemeClr val="accent6">
                            <a:lumMod val="40000"/>
                            <a:lumOff val="60000"/>
                          </a:schemeClr>
                        </a:gs>
                        <a:gs pos="90000">
                          <a:schemeClr val="accent6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/>
                          </a:gs>
                          <a:gs pos="100000">
                            <a:schemeClr val="accent6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6"/>
                  <c:bubble3D val="0"/>
                  <c:spPr>
                    <a:gradFill>
                      <a:gsLst>
                        <a:gs pos="0">
                          <a:schemeClr val="accent1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60000"/>
                            </a:schemeClr>
                          </a:gs>
                          <a:gs pos="100000">
                            <a:schemeClr val="accent1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7"/>
                  <c:bubble3D val="0"/>
                  <c:spPr>
                    <a:gradFill>
                      <a:gsLst>
                        <a:gs pos="0">
                          <a:schemeClr val="accent2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60000"/>
                            </a:schemeClr>
                          </a:gs>
                          <a:gs pos="100000">
                            <a:schemeClr val="accent2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8"/>
                  <c:bubble3D val="0"/>
                  <c:spPr>
                    <a:gradFill>
                      <a:gsLst>
                        <a:gs pos="0">
                          <a:schemeClr val="accent3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60000"/>
                            </a:schemeClr>
                          </a:gs>
                          <a:gs pos="100000">
                            <a:schemeClr val="accent3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9"/>
                  <c:bubble3D val="0"/>
                  <c:spPr>
                    <a:gradFill>
                      <a:gsLst>
                        <a:gs pos="0">
                          <a:schemeClr val="accent4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60000"/>
                            </a:schemeClr>
                          </a:gs>
                          <a:gs pos="100000">
                            <a:schemeClr val="accent4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0"/>
                  <c:bubble3D val="0"/>
                  <c:spPr>
                    <a:gradFill>
                      <a:gsLst>
                        <a:gs pos="0">
                          <a:schemeClr val="accent5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60000"/>
                            </a:schemeClr>
                          </a:gs>
                          <a:gs pos="100000">
                            <a:schemeClr val="accent5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1"/>
                  <c:bubble3D val="0"/>
                  <c:spPr>
                    <a:gradFill>
                      <a:gsLst>
                        <a:gs pos="0">
                          <a:schemeClr val="accent6">
                            <a:lumMod val="6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6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60000"/>
                            </a:schemeClr>
                          </a:gs>
                          <a:gs pos="100000">
                            <a:schemeClr val="accent6">
                              <a:lumMod val="6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2"/>
                  <c:bubble3D val="0"/>
                  <c:spPr>
                    <a:gradFill>
                      <a:gsLst>
                        <a:gs pos="0">
                          <a:schemeClr val="accent1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1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3"/>
                  <c:bubble3D val="0"/>
                  <c:spPr>
                    <a:gradFill>
                      <a:gsLst>
                        <a:gs pos="0">
                          <a:schemeClr val="accent2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2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4"/>
                  <c:bubble3D val="0"/>
                  <c:spPr>
                    <a:gradFill>
                      <a:gsLst>
                        <a:gs pos="0">
                          <a:schemeClr val="accent3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3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5"/>
                  <c:bubble3D val="0"/>
                  <c:spPr>
                    <a:gradFill>
                      <a:gsLst>
                        <a:gs pos="0">
                          <a:schemeClr val="accent4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4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6"/>
                  <c:bubble3D val="0"/>
                  <c:spPr>
                    <a:gradFill>
                      <a:gsLst>
                        <a:gs pos="0">
                          <a:schemeClr val="accent5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5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7"/>
                  <c:bubble3D val="0"/>
                  <c:spPr>
                    <a:gradFill>
                      <a:gsLst>
                        <a:gs pos="0">
                          <a:schemeClr val="accent6">
                            <a:lumMod val="80000"/>
                            <a:lumOff val="2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80000"/>
                            <a:lumOff val="2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80000"/>
                              <a:lumOff val="20000"/>
                            </a:schemeClr>
                          </a:gs>
                          <a:gs pos="100000">
                            <a:schemeClr val="accent6">
                              <a:lumMod val="80000"/>
                              <a:lumOff val="2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8"/>
                  <c:bubble3D val="0"/>
                  <c:spPr>
                    <a:gradFill>
                      <a:gsLst>
                        <a:gs pos="0">
                          <a:schemeClr val="accent1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80000"/>
                            </a:schemeClr>
                          </a:gs>
                          <a:gs pos="100000">
                            <a:schemeClr val="accent1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19"/>
                  <c:bubble3D val="0"/>
                  <c:spPr>
                    <a:gradFill>
                      <a:gsLst>
                        <a:gs pos="0">
                          <a:schemeClr val="accent2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80000"/>
                            </a:schemeClr>
                          </a:gs>
                          <a:gs pos="100000">
                            <a:schemeClr val="accent2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0"/>
                  <c:bubble3D val="0"/>
                  <c:spPr>
                    <a:gradFill>
                      <a:gsLst>
                        <a:gs pos="0">
                          <a:schemeClr val="accent3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80000"/>
                            </a:schemeClr>
                          </a:gs>
                          <a:gs pos="100000">
                            <a:schemeClr val="accent3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1"/>
                  <c:bubble3D val="0"/>
                  <c:spPr>
                    <a:gradFill>
                      <a:gsLst>
                        <a:gs pos="0">
                          <a:schemeClr val="accent4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80000"/>
                            </a:schemeClr>
                          </a:gs>
                          <a:gs pos="100000">
                            <a:schemeClr val="accent4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2"/>
                  <c:bubble3D val="0"/>
                  <c:spPr>
                    <a:gradFill>
                      <a:gsLst>
                        <a:gs pos="0">
                          <a:schemeClr val="accent5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80000"/>
                            </a:schemeClr>
                          </a:gs>
                          <a:gs pos="100000">
                            <a:schemeClr val="accent5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3"/>
                  <c:bubble3D val="0"/>
                  <c:spPr>
                    <a:gradFill>
                      <a:gsLst>
                        <a:gs pos="0">
                          <a:schemeClr val="accent6">
                            <a:lumMod val="8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8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80000"/>
                            </a:schemeClr>
                          </a:gs>
                          <a:gs pos="100000">
                            <a:schemeClr val="accent6">
                              <a:lumMod val="8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4"/>
                  <c:bubble3D val="0"/>
                  <c:spPr>
                    <a:gradFill>
                      <a:gsLst>
                        <a:gs pos="0">
                          <a:schemeClr val="accent1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1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5"/>
                  <c:bubble3D val="0"/>
                  <c:spPr>
                    <a:gradFill>
                      <a:gsLst>
                        <a:gs pos="0">
                          <a:schemeClr val="accent2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2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6"/>
                  <c:bubble3D val="0"/>
                  <c:spPr>
                    <a:gradFill>
                      <a:gsLst>
                        <a:gs pos="0">
                          <a:schemeClr val="accent3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3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7"/>
                  <c:bubble3D val="0"/>
                  <c:spPr>
                    <a:gradFill>
                      <a:gsLst>
                        <a:gs pos="0">
                          <a:schemeClr val="accent4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4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8"/>
                  <c:bubble3D val="0"/>
                  <c:spPr>
                    <a:gradFill>
                      <a:gsLst>
                        <a:gs pos="0">
                          <a:schemeClr val="accent5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5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29"/>
                  <c:bubble3D val="0"/>
                  <c:spPr>
                    <a:gradFill>
                      <a:gsLst>
                        <a:gs pos="0">
                          <a:schemeClr val="accent6">
                            <a:lumMod val="60000"/>
                            <a:lumOff val="4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60000"/>
                            <a:lumOff val="4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60000"/>
                              <a:lumOff val="40000"/>
                            </a:schemeClr>
                          </a:gs>
                          <a:gs pos="100000">
                            <a:schemeClr val="accent6">
                              <a:lumMod val="60000"/>
                              <a:lumOff val="4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0"/>
                  <c:bubble3D val="0"/>
                  <c:spPr>
                    <a:gradFill>
                      <a:gsLst>
                        <a:gs pos="0">
                          <a:schemeClr val="accent1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50000"/>
                            </a:schemeClr>
                          </a:gs>
                          <a:gs pos="100000">
                            <a:schemeClr val="accent1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1"/>
                  <c:bubble3D val="0"/>
                  <c:spPr>
                    <a:gradFill>
                      <a:gsLst>
                        <a:gs pos="0">
                          <a:schemeClr val="accent2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50000"/>
                            </a:schemeClr>
                          </a:gs>
                          <a:gs pos="100000">
                            <a:schemeClr val="accent2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2"/>
                  <c:bubble3D val="0"/>
                  <c:spPr>
                    <a:gradFill>
                      <a:gsLst>
                        <a:gs pos="0">
                          <a:schemeClr val="accent3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50000"/>
                            </a:schemeClr>
                          </a:gs>
                          <a:gs pos="100000">
                            <a:schemeClr val="accent3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3"/>
                  <c:bubble3D val="0"/>
                  <c:spPr>
                    <a:gradFill>
                      <a:gsLst>
                        <a:gs pos="0">
                          <a:schemeClr val="accent4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50000"/>
                            </a:schemeClr>
                          </a:gs>
                          <a:gs pos="100000">
                            <a:schemeClr val="accent4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4"/>
                  <c:bubble3D val="0"/>
                  <c:spPr>
                    <a:gradFill>
                      <a:gsLst>
                        <a:gs pos="0">
                          <a:schemeClr val="accent5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50000"/>
                            </a:schemeClr>
                          </a:gs>
                          <a:gs pos="100000">
                            <a:schemeClr val="accent5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5"/>
                  <c:bubble3D val="0"/>
                  <c:spPr>
                    <a:gradFill>
                      <a:gsLst>
                        <a:gs pos="0">
                          <a:schemeClr val="accent6">
                            <a:lumMod val="5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5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50000"/>
                            </a:schemeClr>
                          </a:gs>
                          <a:gs pos="100000">
                            <a:schemeClr val="accent6">
                              <a:lumMod val="5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6"/>
                  <c:bubble3D val="0"/>
                  <c:spPr>
                    <a:gradFill>
                      <a:gsLst>
                        <a:gs pos="0">
                          <a:schemeClr val="accent1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1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7"/>
                  <c:bubble3D val="0"/>
                  <c:spPr>
                    <a:gradFill>
                      <a:gsLst>
                        <a:gs pos="0">
                          <a:schemeClr val="accent2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2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8"/>
                  <c:bubble3D val="0"/>
                  <c:spPr>
                    <a:gradFill>
                      <a:gsLst>
                        <a:gs pos="0">
                          <a:schemeClr val="accent3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3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39"/>
                  <c:bubble3D val="0"/>
                  <c:spPr>
                    <a:gradFill>
                      <a:gsLst>
                        <a:gs pos="0">
                          <a:schemeClr val="accent4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4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4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4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0"/>
                  <c:bubble3D val="0"/>
                  <c:spPr>
                    <a:gradFill>
                      <a:gsLst>
                        <a:gs pos="0">
                          <a:schemeClr val="accent5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5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5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5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1"/>
                  <c:bubble3D val="0"/>
                  <c:spPr>
                    <a:gradFill>
                      <a:gsLst>
                        <a:gs pos="0">
                          <a:schemeClr val="accent6">
                            <a:lumMod val="70000"/>
                            <a:lumOff val="30000"/>
                            <a:lumMod val="40000"/>
                            <a:lumOff val="60000"/>
                          </a:schemeClr>
                        </a:gs>
                        <a:gs pos="90000">
                          <a:schemeClr val="accent6">
                            <a:lumMod val="70000"/>
                            <a:lumOff val="3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6">
                              <a:lumMod val="70000"/>
                              <a:lumOff val="30000"/>
                            </a:schemeClr>
                          </a:gs>
                          <a:gs pos="100000">
                            <a:schemeClr val="accent6">
                              <a:lumMod val="70000"/>
                              <a:lumOff val="3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2"/>
                  <c:bubble3D val="0"/>
                  <c:spPr>
                    <a:gradFill>
                      <a:gsLst>
                        <a:gs pos="0">
                          <a:schemeClr val="accent1">
                            <a:lumMod val="70000"/>
                            <a:lumMod val="40000"/>
                            <a:lumOff val="60000"/>
                          </a:schemeClr>
                        </a:gs>
                        <a:gs pos="90000">
                          <a:schemeClr val="accent1">
                            <a:lumMod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>
                              <a:lumMod val="70000"/>
                            </a:schemeClr>
                          </a:gs>
                          <a:gs pos="100000">
                            <a:schemeClr val="accent1">
                              <a:lumMod val="7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3"/>
                  <c:bubble3D val="0"/>
                  <c:spPr>
                    <a:gradFill>
                      <a:gsLst>
                        <a:gs pos="0">
                          <a:schemeClr val="accent2">
                            <a:lumMod val="70000"/>
                            <a:lumMod val="40000"/>
                            <a:lumOff val="60000"/>
                          </a:schemeClr>
                        </a:gs>
                        <a:gs pos="90000">
                          <a:schemeClr val="accent2">
                            <a:lumMod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2">
                              <a:lumMod val="70000"/>
                            </a:schemeClr>
                          </a:gs>
                          <a:gs pos="100000">
                            <a:schemeClr val="accent2">
                              <a:lumMod val="7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Pt>
                  <c:idx val="44"/>
                  <c:bubble3D val="0"/>
                  <c:spPr>
                    <a:gradFill>
                      <a:gsLst>
                        <a:gs pos="0">
                          <a:schemeClr val="accent3">
                            <a:lumMod val="70000"/>
                            <a:lumMod val="40000"/>
                            <a:lumOff val="60000"/>
                          </a:schemeClr>
                        </a:gs>
                        <a:gs pos="90000">
                          <a:schemeClr val="accent3">
                            <a:lumMod val="70000"/>
                          </a:schemeClr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3">
                              <a:lumMod val="70000"/>
                            </a:schemeClr>
                          </a:gs>
                          <a:gs pos="100000">
                            <a:schemeClr val="accent3">
                              <a:lumMod val="70000"/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Lbls>
                  <c:dLbl>
                    <c:idx val="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5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6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7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2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8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9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5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6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7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8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19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5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6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7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8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29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5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6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7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8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9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1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2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3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44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1" i="0" u="none" strike="noStrike" kern="1200" spc="0" baseline="0">
                          <a:solidFill>
                            <a:schemeClr val="accent4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'Food Waste Analysis'!$A$2:$A$46</c15:sqref>
                        </c15:formulaRef>
                      </c:ext>
                    </c:extLst>
                    <c:strCache>
                      <c:ptCount val="45"/>
                      <c:pt idx="0" c:formatCode="0.00_);[Red]\(0.00\)">
                        <c:v>Milk</c:v>
                      </c:pt>
                      <c:pt idx="1" c:formatCode="0.00_);[Red]\(0.00\)">
                        <c:v>Bread</c:v>
                      </c:pt>
                      <c:pt idx="2" c:formatCode="0.00_);[Red]\(0.00\)">
                        <c:v>Apples</c:v>
                      </c:pt>
                      <c:pt idx="3" c:formatCode="0.00_);[Red]\(0.00\)">
                        <c:v>Chicken</c:v>
                      </c:pt>
                      <c:pt idx="4" c:formatCode="0.00_);[Red]\(0.00\)">
                        <c:v>Rice</c:v>
                      </c:pt>
                      <c:pt idx="5" c:formatCode="0.00_);[Red]\(0.00\)">
                        <c:v>Potatoes</c:v>
                      </c:pt>
                      <c:pt idx="6" c:formatCode="0.00_);[Red]\(0.00\)">
                        <c:v>Eggs</c:v>
                      </c:pt>
                      <c:pt idx="7" c:formatCode="0.00_);[Red]\(0.00\)">
                        <c:v>Fish</c:v>
                      </c:pt>
                      <c:pt idx="8" c:formatCode="0.00_);[Red]\(0.00\)">
                        <c:v>Bananas</c:v>
                      </c:pt>
                      <c:pt idx="9" c:formatCode="0.00_);[Red]\(0.00\)">
                        <c:v>Onions</c:v>
                      </c:pt>
                      <c:pt idx="10" c:formatCode="0.00_);[Red]\(0.00\)">
                        <c:v>Tomatoes</c:v>
                      </c:pt>
                      <c:pt idx="11" c:formatCode="0.00_);[Red]\(0.00\)">
                        <c:v>Cheese</c:v>
                      </c:pt>
                      <c:pt idx="12" c:formatCode="0.00_);[Red]\(0.00\)">
                        <c:v>Yogurt</c:v>
                      </c:pt>
                      <c:pt idx="13" c:formatCode="0.00_);[Red]\(0.00\)">
                        <c:v>Spinach</c:v>
                      </c:pt>
                      <c:pt idx="14" c:formatCode="0.00_);[Red]\(0.00\)">
                        <c:v>Beef</c:v>
                      </c:pt>
                      <c:pt idx="15" c:formatCode="0.00_);[Red]\(0.00\)">
                        <c:v>Oranges</c:v>
                      </c:pt>
                      <c:pt idx="16" c:formatCode="0.00_);[Red]\(0.00\)">
                        <c:v>Grapes</c:v>
                      </c:pt>
                      <c:pt idx="17" c:formatCode="0.00_);[Red]\(0.00\)">
                        <c:v>Lettuce</c:v>
                      </c:pt>
                      <c:pt idx="18" c:formatCode="0.00_);[Red]\(0.00\)">
                        <c:v>Carrots</c:v>
                      </c:pt>
                      <c:pt idx="19" c:formatCode="0.00_);[Red]\(0.00\)">
                        <c:v>Peas</c:v>
                      </c:pt>
                      <c:pt idx="20" c:formatCode="0.00_);[Red]\(0.00\)">
                        <c:v>Beans</c:v>
                      </c:pt>
                      <c:pt idx="21" c:formatCode="0.00_);[Red]\(0.00\)">
                        <c:v>Pasta</c:v>
                      </c:pt>
                      <c:pt idx="22" c:formatCode="0.00_);[Red]\(0.00\)">
                        <c:v>Lentils</c:v>
                      </c:pt>
                      <c:pt idx="23" c:formatCode="0.00_);[Red]\(0.00\)">
                        <c:v>Watermelon</c:v>
                      </c:pt>
                      <c:pt idx="24" c:formatCode="0.00_);[Red]\(0.00\)">
                        <c:v>Cucumber</c:v>
                      </c:pt>
                      <c:pt idx="25" c:formatCode="0.00_);[Red]\(0.00\)">
                        <c:v>Pork</c:v>
                      </c:pt>
                      <c:pt idx="26" c:formatCode="0.00_);[Red]\(0.00\)">
                        <c:v>Peaches</c:v>
                      </c:pt>
                      <c:pt idx="27" c:formatCode="0.00_);[Red]\(0.00\)">
                        <c:v>Strawberries</c:v>
                      </c:pt>
                      <c:pt idx="28" c:formatCode="0.00_);[Red]\(0.00\)">
                        <c:v>Butter</c:v>
                      </c:pt>
                      <c:pt idx="29" c:formatCode="0.00_);[Red]\(0.00\)">
                        <c:v>Oil</c:v>
                      </c:pt>
                      <c:pt idx="30" c:formatCode="0.00_);[Red]\(0.00\)">
                        <c:v>Sugar</c:v>
                      </c:pt>
                      <c:pt idx="31" c:formatCode="0.00_);[Red]\(0.00\)">
                        <c:v>Salt</c:v>
                      </c:pt>
                      <c:pt idx="32" c:formatCode="0.00_);[Red]\(0.00\)">
                        <c:v>Mushrooms</c:v>
                      </c:pt>
                      <c:pt idx="33" c:formatCode="0.00_);[Red]\(0.00\)">
                        <c:v>Corn</c:v>
                      </c:pt>
                      <c:pt idx="34" c:formatCode="0.00_);[Red]\(0.00\)">
                        <c:v>Zucchini</c:v>
                      </c:pt>
                      <c:pt idx="35" c:formatCode="0.00_);[Red]\(0.00\)">
                        <c:v>Pineapple</c:v>
                      </c:pt>
                      <c:pt idx="36" c:formatCode="0.00_);[Red]\(0.00\)">
                        <c:v>Chocolate</c:v>
                      </c:pt>
                      <c:pt idx="37" c:formatCode="0.00_);[Red]\(0.00\)">
                        <c:v>Ice Cream</c:v>
                      </c:pt>
                      <c:pt idx="38" c:formatCode="0.00_);[Red]\(0.00\)">
                        <c:v>Coffee</c:v>
                      </c:pt>
                      <c:pt idx="39" c:formatCode="0.00_);[Red]\(0.00\)">
                        <c:v>Tea</c:v>
                      </c:pt>
                      <c:pt idx="40" c:formatCode="0.00_);[Red]\(0.00\)">
                        <c:v>Flour</c:v>
                      </c:pt>
                      <c:pt idx="41" c:formatCode="0.00_);[Red]\(0.00\)">
                        <c:v>Baking Powder</c:v>
                      </c:pt>
                      <c:pt idx="42" c:formatCode="0.00_);[Red]\(0.00\)">
                        <c:v>Honey</c:v>
                      </c:pt>
                      <c:pt idx="43" c:formatCode="0.00_);[Red]\(0.00\)">
                        <c:v>Nuts</c:v>
                      </c:pt>
                      <c:pt idx="44" c:formatCode="0.00_);[Red]\(0.00\)">
                        <c:v>Seeds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'Food Waste Analysis'!$E$2:$E$46</c15:sqref>
                        </c15:formulaRef>
                      </c:ext>
                    </c:extLst>
                    <c:numCache>
                      <c:formatCode>0.00_);[Red]\(0.00\)</c:formatCode>
                      <c:ptCount val="45"/>
                      <c:pt idx="0">
                        <c:v>2</c:v>
                      </c:pt>
                      <c:pt idx="1">
                        <c:v>3</c:v>
                      </c:pt>
                      <c:pt idx="2">
                        <c:v>2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1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3</c:v>
                      </c:pt>
                      <c:pt idx="11">
                        <c:v>1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2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3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1</c:v>
                      </c:pt>
                      <c:pt idx="30">
                        <c:v>2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2</c:v>
                      </c:pt>
                      <c:pt idx="37">
                        <c:v>2</c:v>
                      </c:pt>
                      <c:pt idx="38">
                        <c:v>2</c:v>
                      </c:pt>
                      <c:pt idx="39">
                        <c:v>1</c:v>
                      </c:pt>
                      <c:pt idx="40">
                        <c:v>2</c:v>
                      </c:pt>
                      <c:pt idx="41">
                        <c:v>1</c:v>
                      </c:pt>
                      <c:pt idx="42">
                        <c:v>2</c:v>
                      </c:pt>
                      <c:pt idx="43">
                        <c:v>1</c:v>
                      </c:pt>
                      <c:pt idx="44">
                        <c:v>1</c:v>
                      </c:pt>
                    </c:numCache>
                  </c:numRef>
                </c:val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'Food Waste Analysis'!#REF!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gradFill>
                      <a:gsLst>
                        <a:gs pos="0">
                          <a:schemeClr val="accent1">
                            <a:lumMod val="40000"/>
                            <a:lumOff val="60000"/>
                          </a:schemeClr>
                        </a:gs>
                        <a:gs pos="90000">
                          <a:schemeClr val="accent1"/>
                        </a:gs>
                      </a:gsLst>
                      <a:lin ang="5400000" scaled="0"/>
                    </a:gradFill>
                    <a:ln>
                      <a:gradFill>
                        <a:gsLst>
                          <a:gs pos="0">
                            <a:schemeClr val="accent1"/>
                          </a:gs>
                          <a:gs pos="100000">
                            <a:schemeClr val="accent1">
                              <a:lumMod val="75000"/>
                            </a:schemeClr>
                          </a:gs>
                        </a:gsLst>
                        <a:lin ang="5400000" scaled="1"/>
                      </a:gradFill>
                    </a:ln>
                    <a:effectLst/>
                  </c:spPr>
                </c:dPt>
                <c:dLbls>
                  <c:dLbl>
                    <c:idx val="0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1" i="0" u="none" strike="noStrike" kern="1200" spc="0" baseline="0">
                          <a:solidFill>
                            <a:schemeClr val="accent5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'Food Waste Analysis'!$A$2:$A$46</c15:sqref>
                        </c15:formulaRef>
                      </c:ext>
                    </c:extLst>
                    <c:strCache>
                      <c:ptCount val="45"/>
                      <c:pt idx="0" c:formatCode="0.00_);[Red]\(0.00\)">
                        <c:v>Milk</c:v>
                      </c:pt>
                      <c:pt idx="1" c:formatCode="0.00_);[Red]\(0.00\)">
                        <c:v>Bread</c:v>
                      </c:pt>
                      <c:pt idx="2" c:formatCode="0.00_);[Red]\(0.00\)">
                        <c:v>Apples</c:v>
                      </c:pt>
                      <c:pt idx="3" c:formatCode="0.00_);[Red]\(0.00\)">
                        <c:v>Chicken</c:v>
                      </c:pt>
                      <c:pt idx="4" c:formatCode="0.00_);[Red]\(0.00\)">
                        <c:v>Rice</c:v>
                      </c:pt>
                      <c:pt idx="5" c:formatCode="0.00_);[Red]\(0.00\)">
                        <c:v>Potatoes</c:v>
                      </c:pt>
                      <c:pt idx="6" c:formatCode="0.00_);[Red]\(0.00\)">
                        <c:v>Eggs</c:v>
                      </c:pt>
                      <c:pt idx="7" c:formatCode="0.00_);[Red]\(0.00\)">
                        <c:v>Fish</c:v>
                      </c:pt>
                      <c:pt idx="8" c:formatCode="0.00_);[Red]\(0.00\)">
                        <c:v>Bananas</c:v>
                      </c:pt>
                      <c:pt idx="9" c:formatCode="0.00_);[Red]\(0.00\)">
                        <c:v>Onions</c:v>
                      </c:pt>
                      <c:pt idx="10" c:formatCode="0.00_);[Red]\(0.00\)">
                        <c:v>Tomatoes</c:v>
                      </c:pt>
                      <c:pt idx="11" c:formatCode="0.00_);[Red]\(0.00\)">
                        <c:v>Cheese</c:v>
                      </c:pt>
                      <c:pt idx="12" c:formatCode="0.00_);[Red]\(0.00\)">
                        <c:v>Yogurt</c:v>
                      </c:pt>
                      <c:pt idx="13" c:formatCode="0.00_);[Red]\(0.00\)">
                        <c:v>Spinach</c:v>
                      </c:pt>
                      <c:pt idx="14" c:formatCode="0.00_);[Red]\(0.00\)">
                        <c:v>Beef</c:v>
                      </c:pt>
                      <c:pt idx="15" c:formatCode="0.00_);[Red]\(0.00\)">
                        <c:v>Oranges</c:v>
                      </c:pt>
                      <c:pt idx="16" c:formatCode="0.00_);[Red]\(0.00\)">
                        <c:v>Grapes</c:v>
                      </c:pt>
                      <c:pt idx="17" c:formatCode="0.00_);[Red]\(0.00\)">
                        <c:v>Lettuce</c:v>
                      </c:pt>
                      <c:pt idx="18" c:formatCode="0.00_);[Red]\(0.00\)">
                        <c:v>Carrots</c:v>
                      </c:pt>
                      <c:pt idx="19" c:formatCode="0.00_);[Red]\(0.00\)">
                        <c:v>Peas</c:v>
                      </c:pt>
                      <c:pt idx="20" c:formatCode="0.00_);[Red]\(0.00\)">
                        <c:v>Beans</c:v>
                      </c:pt>
                      <c:pt idx="21" c:formatCode="0.00_);[Red]\(0.00\)">
                        <c:v>Pasta</c:v>
                      </c:pt>
                      <c:pt idx="22" c:formatCode="0.00_);[Red]\(0.00\)">
                        <c:v>Lentils</c:v>
                      </c:pt>
                      <c:pt idx="23" c:formatCode="0.00_);[Red]\(0.00\)">
                        <c:v>Watermelon</c:v>
                      </c:pt>
                      <c:pt idx="24" c:formatCode="0.00_);[Red]\(0.00\)">
                        <c:v>Cucumber</c:v>
                      </c:pt>
                      <c:pt idx="25" c:formatCode="0.00_);[Red]\(0.00\)">
                        <c:v>Pork</c:v>
                      </c:pt>
                      <c:pt idx="26" c:formatCode="0.00_);[Red]\(0.00\)">
                        <c:v>Peaches</c:v>
                      </c:pt>
                      <c:pt idx="27" c:formatCode="0.00_);[Red]\(0.00\)">
                        <c:v>Strawberries</c:v>
                      </c:pt>
                      <c:pt idx="28" c:formatCode="0.00_);[Red]\(0.00\)">
                        <c:v>Butter</c:v>
                      </c:pt>
                      <c:pt idx="29" c:formatCode="0.00_);[Red]\(0.00\)">
                        <c:v>Oil</c:v>
                      </c:pt>
                      <c:pt idx="30" c:formatCode="0.00_);[Red]\(0.00\)">
                        <c:v>Sugar</c:v>
                      </c:pt>
                      <c:pt idx="31" c:formatCode="0.00_);[Red]\(0.00\)">
                        <c:v>Salt</c:v>
                      </c:pt>
                      <c:pt idx="32" c:formatCode="0.00_);[Red]\(0.00\)">
                        <c:v>Mushrooms</c:v>
                      </c:pt>
                      <c:pt idx="33" c:formatCode="0.00_);[Red]\(0.00\)">
                        <c:v>Corn</c:v>
                      </c:pt>
                      <c:pt idx="34" c:formatCode="0.00_);[Red]\(0.00\)">
                        <c:v>Zucchini</c:v>
                      </c:pt>
                      <c:pt idx="35" c:formatCode="0.00_);[Red]\(0.00\)">
                        <c:v>Pineapple</c:v>
                      </c:pt>
                      <c:pt idx="36" c:formatCode="0.00_);[Red]\(0.00\)">
                        <c:v>Chocolate</c:v>
                      </c:pt>
                      <c:pt idx="37" c:formatCode="0.00_);[Red]\(0.00\)">
                        <c:v>Ice Cream</c:v>
                      </c:pt>
                      <c:pt idx="38" c:formatCode="0.00_);[Red]\(0.00\)">
                        <c:v>Coffee</c:v>
                      </c:pt>
                      <c:pt idx="39" c:formatCode="0.00_);[Red]\(0.00\)">
                        <c:v>Tea</c:v>
                      </c:pt>
                      <c:pt idx="40" c:formatCode="0.00_);[Red]\(0.00\)">
                        <c:v>Flour</c:v>
                      </c:pt>
                      <c:pt idx="41" c:formatCode="0.00_);[Red]\(0.00\)">
                        <c:v>Baking Powder</c:v>
                      </c:pt>
                      <c:pt idx="42" c:formatCode="0.00_);[Red]\(0.00\)">
                        <c:v>Honey</c:v>
                      </c:pt>
                      <c:pt idx="43" c:formatCode="0.00_);[Red]\(0.00\)">
                        <c:v>Nuts</c:v>
                      </c:pt>
                      <c:pt idx="44" c:formatCode="0.00_);[Red]\(0.00\)">
                        <c:v>Seeds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'Food Waste Analysis'!#REF!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64cd0e-0cb1-4a55-973a-e8cd087443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370205</xdr:colOff>
      <xdr:row>39</xdr:row>
      <xdr:rowOff>53975</xdr:rowOff>
    </xdr:from>
    <xdr:to>
      <xdr:col>7</xdr:col>
      <xdr:colOff>52705</xdr:colOff>
      <xdr:row>53</xdr:row>
      <xdr:rowOff>183515</xdr:rowOff>
    </xdr:to>
    <xdr:graphicFrame>
      <xdr:nvGraphicFramePr>
        <xdr:cNvPr id="6" name="Chart 5"/>
        <xdr:cNvGraphicFramePr/>
      </xdr:nvGraphicFramePr>
      <xdr:xfrm>
        <a:off x="11673205" y="7235825"/>
        <a:ext cx="4826000" cy="2891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255905</xdr:colOff>
      <xdr:row>19</xdr:row>
      <xdr:rowOff>86360</xdr:rowOff>
    </xdr:from>
    <xdr:to>
      <xdr:col>6</xdr:col>
      <xdr:colOff>2510155</xdr:colOff>
      <xdr:row>38</xdr:row>
      <xdr:rowOff>67310</xdr:rowOff>
    </xdr:to>
    <xdr:graphicFrame>
      <xdr:nvGraphicFramePr>
        <xdr:cNvPr id="7" name="Chart 6"/>
        <xdr:cNvGraphicFramePr/>
      </xdr:nvGraphicFramePr>
      <xdr:xfrm>
        <a:off x="11558905" y="3585210"/>
        <a:ext cx="4826000" cy="347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400685</xdr:colOff>
      <xdr:row>2</xdr:row>
      <xdr:rowOff>183515</xdr:rowOff>
    </xdr:from>
    <xdr:to>
      <xdr:col>7</xdr:col>
      <xdr:colOff>83185</xdr:colOff>
      <xdr:row>17</xdr:row>
      <xdr:rowOff>164465</xdr:rowOff>
    </xdr:to>
    <xdr:graphicFrame>
      <xdr:nvGraphicFramePr>
        <xdr:cNvPr id="8" name="Chart 7"/>
        <xdr:cNvGraphicFramePr/>
      </xdr:nvGraphicFramePr>
      <xdr:xfrm>
        <a:off x="11703685" y="55181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2</xdr:row>
      <xdr:rowOff>0</xdr:rowOff>
    </xdr:from>
    <xdr:to>
      <xdr:col>14</xdr:col>
      <xdr:colOff>289560</xdr:colOff>
      <xdr:row>3</xdr:row>
      <xdr:rowOff>170180</xdr:rowOff>
    </xdr:to>
    <xdr:sp>
      <xdr:nvSpPr>
        <xdr:cNvPr id="6" name="Text 2"/>
        <xdr:cNvSpPr/>
      </xdr:nvSpPr>
      <xdr:spPr>
        <a:xfrm>
          <a:off x="11868150" y="368300"/>
          <a:ext cx="2175510" cy="354330"/>
        </a:xfrm>
        <a:prstGeom prst="rect">
          <a:avLst/>
        </a:prstGeom>
        <a:noFill/>
      </xdr:spPr>
      <xdr:txBody>
        <a:bodyPr wrap="none" lIns="0" tIns="0" rIns="0" b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>
            <a:lnSpc>
              <a:spcPts val="2750"/>
            </a:lnSpc>
            <a:buNone/>
          </a:pPr>
          <a:endParaRPr lang="en-US" sz="1100" b="1" kern="0" spc="-67" dirty="0">
            <a:solidFill>
              <a:srgbClr val="272525"/>
            </a:solidFill>
            <a:latin typeface="Inter Bold" pitchFamily="34" charset="0"/>
            <a:ea typeface="Inter Bold" pitchFamily="34" charset="-122"/>
            <a:cs typeface="Inter Bold" pitchFamily="34" charset="-120"/>
          </a:endParaRPr>
        </a:p>
      </xdr:txBody>
    </xdr:sp>
    <xdr:clientData/>
  </xdr:twoCellAnchor>
  <xdr:twoCellAnchor>
    <xdr:from>
      <xdr:col>12</xdr:col>
      <xdr:colOff>177800</xdr:colOff>
      <xdr:row>6</xdr:row>
      <xdr:rowOff>127635</xdr:rowOff>
    </xdr:from>
    <xdr:to>
      <xdr:col>15</xdr:col>
      <xdr:colOff>415290</xdr:colOff>
      <xdr:row>8</xdr:row>
      <xdr:rowOff>113665</xdr:rowOff>
    </xdr:to>
    <xdr:sp>
      <xdr:nvSpPr>
        <xdr:cNvPr id="7" name="Text 5"/>
        <xdr:cNvSpPr/>
      </xdr:nvSpPr>
      <xdr:spPr>
        <a:xfrm>
          <a:off x="12674600" y="1232535"/>
          <a:ext cx="2123440" cy="354330"/>
        </a:xfrm>
        <a:prstGeom prst="rect">
          <a:avLst/>
        </a:prstGeom>
        <a:noFill/>
      </xdr:spPr>
      <xdr:txBody>
        <a:bodyPr wrap="none" lIns="0" tIns="0" rIns="0" b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>
            <a:lnSpc>
              <a:spcPts val="2750"/>
            </a:lnSpc>
            <a:buNone/>
          </a:pPr>
          <a:endParaRPr lang="en-US" sz="1100" b="1" kern="0" spc="-67" dirty="0">
            <a:solidFill>
              <a:srgbClr val="272525"/>
            </a:solidFill>
            <a:latin typeface="Inter Bold" pitchFamily="34" charset="0"/>
            <a:ea typeface="Inter Bold" pitchFamily="34" charset="-122"/>
            <a:cs typeface="Inter Bold" pitchFamily="34" charset="-120"/>
          </a:endParaRPr>
        </a:p>
      </xdr:txBody>
    </xdr:sp>
    <xdr:clientData/>
  </xdr:twoCellAnchor>
  <xdr:twoCellAnchor>
    <xdr:from>
      <xdr:col>13</xdr:col>
      <xdr:colOff>356235</xdr:colOff>
      <xdr:row>11</xdr:row>
      <xdr:rowOff>71755</xdr:rowOff>
    </xdr:from>
    <xdr:to>
      <xdr:col>17</xdr:col>
      <xdr:colOff>429895</xdr:colOff>
      <xdr:row>13</xdr:row>
      <xdr:rowOff>57785</xdr:rowOff>
    </xdr:to>
    <xdr:sp>
      <xdr:nvSpPr>
        <xdr:cNvPr id="8" name="Text 8"/>
        <xdr:cNvSpPr/>
      </xdr:nvSpPr>
      <xdr:spPr>
        <a:xfrm>
          <a:off x="13481685" y="2097405"/>
          <a:ext cx="2588260" cy="354330"/>
        </a:xfrm>
        <a:prstGeom prst="rect">
          <a:avLst/>
        </a:prstGeom>
        <a:noFill/>
      </xdr:spPr>
      <xdr:txBody>
        <a:bodyPr wrap="none" lIns="0" tIns="0" rIns="0" b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>
            <a:lnSpc>
              <a:spcPts val="2750"/>
            </a:lnSpc>
            <a:buNone/>
          </a:pPr>
          <a:endParaRPr lang="en-US" sz="1100" b="1" kern="0" spc="-67" dirty="0">
            <a:solidFill>
              <a:srgbClr val="272525"/>
            </a:solidFill>
            <a:latin typeface="Inter Bold" pitchFamily="34" charset="0"/>
            <a:ea typeface="Inter Bold" pitchFamily="34" charset="-122"/>
            <a:cs typeface="Inter Bold" pitchFamily="34" charset="-120"/>
          </a:endParaRPr>
        </a:p>
      </xdr:txBody>
    </xdr:sp>
    <xdr:clientData/>
  </xdr:twoCellAnchor>
  <xdr:twoCellAnchor>
    <xdr:from>
      <xdr:col>14</xdr:col>
      <xdr:colOff>534670</xdr:colOff>
      <xdr:row>16</xdr:row>
      <xdr:rowOff>15240</xdr:rowOff>
    </xdr:from>
    <xdr:to>
      <xdr:col>19</xdr:col>
      <xdr:colOff>277495</xdr:colOff>
      <xdr:row>18</xdr:row>
      <xdr:rowOff>1270</xdr:rowOff>
    </xdr:to>
    <xdr:sp>
      <xdr:nvSpPr>
        <xdr:cNvPr id="9" name="Text 11"/>
        <xdr:cNvSpPr/>
      </xdr:nvSpPr>
      <xdr:spPr>
        <a:xfrm>
          <a:off x="14288770" y="2961640"/>
          <a:ext cx="2886075" cy="354330"/>
        </a:xfrm>
        <a:prstGeom prst="rect">
          <a:avLst/>
        </a:prstGeom>
        <a:noFill/>
      </xdr:spPr>
      <xdr:txBody>
        <a:bodyPr wrap="none" lIns="0" tIns="0" rIns="0" b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>
            <a:lnSpc>
              <a:spcPts val="2750"/>
            </a:lnSpc>
            <a:buNone/>
          </a:pPr>
          <a:endParaRPr lang="en-US" sz="1100" b="1" kern="0" spc="-67" dirty="0">
            <a:solidFill>
              <a:srgbClr val="272525"/>
            </a:solidFill>
            <a:latin typeface="Inter Bold" pitchFamily="34" charset="0"/>
            <a:ea typeface="Inter Bold" pitchFamily="34" charset="-122"/>
            <a:cs typeface="Inter Bold" pitchFamily="34" charset="-12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35.6016319444" refreshedBy="Jagan" recordCount="45">
  <cacheSource type="worksheet">
    <worksheetSource name="Table1"/>
  </cacheSource>
  <cacheFields count="6">
    <cacheField name="Food Item" numFmtId="0">
      <sharedItems count="45">
        <s v="Milk"/>
        <s v="Bread"/>
        <s v="Apples"/>
        <s v="Chicken"/>
        <s v="Rice"/>
        <s v="Potatoes"/>
        <s v="Eggs"/>
        <s v="Fish"/>
        <s v="Bananas"/>
        <s v="Onions"/>
        <s v="Tomatoes"/>
        <s v="Cheese"/>
        <s v="Yogurt"/>
        <s v="Spinach"/>
        <s v="Beef"/>
        <s v="Oranges"/>
        <s v="Grapes"/>
        <s v="Lettuce"/>
        <s v="Carrots"/>
        <s v="Peas"/>
        <s v="Beans"/>
        <s v="Pasta"/>
        <s v="Lentils"/>
        <s v="Watermelon"/>
        <s v="Cucumber"/>
        <s v="Pork"/>
        <s v="Peaches"/>
        <s v="Strawberries"/>
        <s v="Butter"/>
        <s v="Oil"/>
        <s v="Sugar"/>
        <s v="Salt"/>
        <s v="Mushrooms"/>
        <s v="Corn"/>
        <s v="Zucchini"/>
        <s v="Pineapple"/>
        <s v="Chocolate"/>
        <s v="Ice Cream"/>
        <s v="Coffee"/>
        <s v="Tea"/>
        <s v="Flour"/>
        <s v="Baking Powder"/>
        <s v="Honey"/>
        <s v="Nuts"/>
        <s v="Seeds"/>
      </sharedItems>
    </cacheField>
    <cacheField name="Purchased Quantity (kg)" numFmtId="0">
      <sharedItems containsSemiMixedTypes="0" containsString="0" containsNumber="1" minValue="0" maxValue="12" count="9">
        <n v="2"/>
        <n v="5"/>
        <n v="3"/>
        <n v="4"/>
        <n v="6"/>
        <n v="12"/>
        <n v="1"/>
        <n v="1.5"/>
        <n v="0.5"/>
      </sharedItems>
    </cacheField>
    <cacheField name="Consumed Quantity (kg)" numFmtId="0">
      <sharedItems containsSemiMixedTypes="0" containsString="0" containsNumber="1" minValue="0" maxValue="10" count="19">
        <n v="1.5"/>
        <n v="4"/>
        <n v="2"/>
        <n v="3"/>
        <n v="5"/>
        <n v="10"/>
        <n v="2.5"/>
        <n v="4.5"/>
        <n v="0.8"/>
        <n v="1.8"/>
        <n v="2.7"/>
        <n v="1.2"/>
        <n v="0.7"/>
        <n v="2.8"/>
        <n v="3.5"/>
        <n v="3.8"/>
        <n v="0.9"/>
        <n v="0.4"/>
        <n v="1.4"/>
      </sharedItems>
    </cacheField>
    <cacheField name="Wasted Quantity (kg)" numFmtId="0">
      <sharedItems containsSemiMixedTypes="0" containsString="0" containsNumber="1" minValue="0" maxValue="2" count="6">
        <n v="0.5"/>
        <n v="1"/>
        <n v="2"/>
        <n v="0.2"/>
        <n v="0.3"/>
        <n v="0.1"/>
      </sharedItems>
    </cacheField>
    <cacheField name="Purchase Frequency (per week)" numFmtId="0">
      <sharedItems containsSemiMixedTypes="0" containsString="0" containsNumber="1" containsInteger="1" minValue="0" maxValue="3" count="3">
        <n v="2"/>
        <n v="3"/>
        <n v="1"/>
      </sharedItems>
    </cacheField>
    <cacheField name="wastage percentage" numFmtId="0">
      <sharedItems containsSemiMixedTypes="0" containsString="0" containsNumber="1" minValue="0" maxValue="33.3333333333333" count="9">
        <n v="25"/>
        <n v="20"/>
        <n v="33.3333333333333"/>
        <n v="16.6666666666667"/>
        <n v="10"/>
        <n v="30"/>
        <n v="6.66666666666667"/>
        <n v="12.5"/>
        <n v="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">
  <r>
    <x v="0"/>
    <x v="0"/>
    <x v="0"/>
    <x v="0"/>
    <x v="0"/>
    <x v="0"/>
  </r>
  <r>
    <x v="1"/>
    <x v="1"/>
    <x v="1"/>
    <x v="1"/>
    <x v="1"/>
    <x v="1"/>
  </r>
  <r>
    <x v="2"/>
    <x v="2"/>
    <x v="2"/>
    <x v="1"/>
    <x v="0"/>
    <x v="2"/>
  </r>
  <r>
    <x v="3"/>
    <x v="0"/>
    <x v="0"/>
    <x v="0"/>
    <x v="2"/>
    <x v="0"/>
  </r>
  <r>
    <x v="4"/>
    <x v="3"/>
    <x v="3"/>
    <x v="1"/>
    <x v="0"/>
    <x v="0"/>
  </r>
  <r>
    <x v="5"/>
    <x v="4"/>
    <x v="4"/>
    <x v="1"/>
    <x v="1"/>
    <x v="3"/>
  </r>
  <r>
    <x v="6"/>
    <x v="5"/>
    <x v="5"/>
    <x v="2"/>
    <x v="0"/>
    <x v="3"/>
  </r>
  <r>
    <x v="7"/>
    <x v="2"/>
    <x v="6"/>
    <x v="0"/>
    <x v="2"/>
    <x v="3"/>
  </r>
  <r>
    <x v="8"/>
    <x v="0"/>
    <x v="0"/>
    <x v="0"/>
    <x v="1"/>
    <x v="0"/>
  </r>
  <r>
    <x v="9"/>
    <x v="3"/>
    <x v="3"/>
    <x v="1"/>
    <x v="0"/>
    <x v="0"/>
  </r>
  <r>
    <x v="10"/>
    <x v="1"/>
    <x v="7"/>
    <x v="0"/>
    <x v="1"/>
    <x v="4"/>
  </r>
  <r>
    <x v="11"/>
    <x v="6"/>
    <x v="8"/>
    <x v="3"/>
    <x v="2"/>
    <x v="1"/>
  </r>
  <r>
    <x v="12"/>
    <x v="0"/>
    <x v="9"/>
    <x v="3"/>
    <x v="0"/>
    <x v="4"/>
  </r>
  <r>
    <x v="13"/>
    <x v="6"/>
    <x v="8"/>
    <x v="3"/>
    <x v="0"/>
    <x v="1"/>
  </r>
  <r>
    <x v="14"/>
    <x v="2"/>
    <x v="10"/>
    <x v="4"/>
    <x v="2"/>
    <x v="4"/>
  </r>
  <r>
    <x v="15"/>
    <x v="0"/>
    <x v="9"/>
    <x v="3"/>
    <x v="0"/>
    <x v="4"/>
  </r>
  <r>
    <x v="16"/>
    <x v="7"/>
    <x v="11"/>
    <x v="4"/>
    <x v="2"/>
    <x v="1"/>
  </r>
  <r>
    <x v="17"/>
    <x v="6"/>
    <x v="12"/>
    <x v="4"/>
    <x v="0"/>
    <x v="5"/>
  </r>
  <r>
    <x v="18"/>
    <x v="2"/>
    <x v="6"/>
    <x v="0"/>
    <x v="1"/>
    <x v="3"/>
  </r>
  <r>
    <x v="19"/>
    <x v="0"/>
    <x v="0"/>
    <x v="0"/>
    <x v="2"/>
    <x v="0"/>
  </r>
  <r>
    <x v="20"/>
    <x v="2"/>
    <x v="13"/>
    <x v="3"/>
    <x v="0"/>
    <x v="6"/>
  </r>
  <r>
    <x v="21"/>
    <x v="3"/>
    <x v="14"/>
    <x v="0"/>
    <x v="2"/>
    <x v="7"/>
  </r>
  <r>
    <x v="22"/>
    <x v="0"/>
    <x v="9"/>
    <x v="3"/>
    <x v="0"/>
    <x v="4"/>
  </r>
  <r>
    <x v="23"/>
    <x v="1"/>
    <x v="7"/>
    <x v="0"/>
    <x v="2"/>
    <x v="4"/>
  </r>
  <r>
    <x v="24"/>
    <x v="2"/>
    <x v="6"/>
    <x v="0"/>
    <x v="0"/>
    <x v="3"/>
  </r>
  <r>
    <x v="25"/>
    <x v="3"/>
    <x v="15"/>
    <x v="3"/>
    <x v="2"/>
    <x v="8"/>
  </r>
  <r>
    <x v="26"/>
    <x v="0"/>
    <x v="9"/>
    <x v="3"/>
    <x v="0"/>
    <x v="4"/>
  </r>
  <r>
    <x v="27"/>
    <x v="7"/>
    <x v="11"/>
    <x v="4"/>
    <x v="2"/>
    <x v="1"/>
  </r>
  <r>
    <x v="28"/>
    <x v="6"/>
    <x v="8"/>
    <x v="3"/>
    <x v="0"/>
    <x v="1"/>
  </r>
  <r>
    <x v="29"/>
    <x v="2"/>
    <x v="13"/>
    <x v="3"/>
    <x v="2"/>
    <x v="6"/>
  </r>
  <r>
    <x v="30"/>
    <x v="0"/>
    <x v="9"/>
    <x v="3"/>
    <x v="0"/>
    <x v="4"/>
  </r>
  <r>
    <x v="31"/>
    <x v="6"/>
    <x v="16"/>
    <x v="5"/>
    <x v="2"/>
    <x v="4"/>
  </r>
  <r>
    <x v="32"/>
    <x v="6"/>
    <x v="8"/>
    <x v="3"/>
    <x v="2"/>
    <x v="1"/>
  </r>
  <r>
    <x v="33"/>
    <x v="0"/>
    <x v="0"/>
    <x v="0"/>
    <x v="0"/>
    <x v="0"/>
  </r>
  <r>
    <x v="34"/>
    <x v="7"/>
    <x v="11"/>
    <x v="4"/>
    <x v="2"/>
    <x v="1"/>
  </r>
  <r>
    <x v="35"/>
    <x v="0"/>
    <x v="9"/>
    <x v="3"/>
    <x v="2"/>
    <x v="4"/>
  </r>
  <r>
    <x v="36"/>
    <x v="6"/>
    <x v="16"/>
    <x v="5"/>
    <x v="0"/>
    <x v="4"/>
  </r>
  <r>
    <x v="37"/>
    <x v="0"/>
    <x v="9"/>
    <x v="3"/>
    <x v="0"/>
    <x v="4"/>
  </r>
  <r>
    <x v="38"/>
    <x v="6"/>
    <x v="16"/>
    <x v="5"/>
    <x v="0"/>
    <x v="4"/>
  </r>
  <r>
    <x v="39"/>
    <x v="8"/>
    <x v="17"/>
    <x v="5"/>
    <x v="2"/>
    <x v="1"/>
  </r>
  <r>
    <x v="40"/>
    <x v="3"/>
    <x v="15"/>
    <x v="3"/>
    <x v="0"/>
    <x v="8"/>
  </r>
  <r>
    <x v="41"/>
    <x v="8"/>
    <x v="17"/>
    <x v="5"/>
    <x v="2"/>
    <x v="1"/>
  </r>
  <r>
    <x v="42"/>
    <x v="6"/>
    <x v="16"/>
    <x v="5"/>
    <x v="0"/>
    <x v="4"/>
  </r>
  <r>
    <x v="43"/>
    <x v="7"/>
    <x v="18"/>
    <x v="5"/>
    <x v="2"/>
    <x v="6"/>
  </r>
  <r>
    <x v="44"/>
    <x v="6"/>
    <x v="8"/>
    <x v="3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:E50" firstHeaderRow="0" firstDataRow="1" firstDataCol="1"/>
  <pivotFields count="6">
    <pivotField axis="axisRow" compact="0" showAll="0">
      <items count="46">
        <item x="2"/>
        <item x="41"/>
        <item x="8"/>
        <item x="20"/>
        <item x="14"/>
        <item x="1"/>
        <item x="28"/>
        <item x="18"/>
        <item x="11"/>
        <item x="3"/>
        <item x="36"/>
        <item x="38"/>
        <item x="33"/>
        <item x="24"/>
        <item x="6"/>
        <item x="7"/>
        <item x="40"/>
        <item x="16"/>
        <item x="42"/>
        <item x="37"/>
        <item x="22"/>
        <item x="17"/>
        <item x="0"/>
        <item x="32"/>
        <item x="43"/>
        <item x="29"/>
        <item x="9"/>
        <item x="15"/>
        <item x="21"/>
        <item x="26"/>
        <item x="19"/>
        <item x="35"/>
        <item x="25"/>
        <item x="5"/>
        <item x="4"/>
        <item x="31"/>
        <item x="44"/>
        <item x="13"/>
        <item x="27"/>
        <item x="30"/>
        <item x="39"/>
        <item x="10"/>
        <item x="23"/>
        <item x="12"/>
        <item x="34"/>
        <item t="default"/>
      </items>
    </pivotField>
    <pivotField dataField="1" compact="0" showAll="0">
      <items count="10">
        <item x="8"/>
        <item x="6"/>
        <item x="7"/>
        <item x="0"/>
        <item x="2"/>
        <item x="3"/>
        <item x="1"/>
        <item x="4"/>
        <item x="5"/>
        <item t="default"/>
      </items>
    </pivotField>
    <pivotField dataField="1" compact="0" showAll="0">
      <items count="20">
        <item x="17"/>
        <item x="12"/>
        <item x="8"/>
        <item x="16"/>
        <item x="11"/>
        <item x="18"/>
        <item x="0"/>
        <item x="9"/>
        <item x="2"/>
        <item x="6"/>
        <item x="10"/>
        <item x="13"/>
        <item x="3"/>
        <item x="14"/>
        <item x="15"/>
        <item x="1"/>
        <item x="7"/>
        <item x="4"/>
        <item x="5"/>
        <item t="default"/>
      </items>
    </pivotField>
    <pivotField dataField="1" compact="0" showAll="0">
      <items count="7">
        <item x="5"/>
        <item x="3"/>
        <item x="4"/>
        <item x="0"/>
        <item x="1"/>
        <item x="2"/>
        <item t="default"/>
      </items>
    </pivotField>
    <pivotField dataField="1" compact="0" showAll="0">
      <items count="4">
        <item x="2"/>
        <item x="0"/>
        <item x="1"/>
        <item t="default"/>
      </items>
    </pivotField>
    <pivotField compact="0" showAll="0">
      <items count="10">
        <item x="8"/>
        <item x="6"/>
        <item x="4"/>
        <item x="7"/>
        <item x="3"/>
        <item x="1"/>
        <item x="0"/>
        <item x="5"/>
        <item x="2"/>
        <item t="default"/>
      </items>
    </pivotField>
  </pivotFields>
  <rowFields count="1">
    <field x="0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Wasted Quantity (kg)" fld="3" baseField="0" baseItem="0"/>
    <dataField name="Sum of Purchased Quantity (kg)" fld="1" baseField="0" baseItem="0"/>
    <dataField name="Sum of Consumed Quantity (kg)" fld="2" baseField="0" baseItem="0"/>
    <dataField name="Sum of Purchase Frequency (per week)" fld="4" baseField="0" baseItem="0"/>
  </dataFields>
  <formats count="1">
    <format dxfId="0">
      <pivotArea type="all" dataOnly="0" outline="0" fieldPosition="0"/>
    </format>
  </formats>
  <pivotTableStyleInfo name="PivotStylePreset6_Accent1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51:E54" totalsRowShown="0">
  <autoFilter xmlns:etc="http://www.wps.cn/officeDocument/2017/etCustomData" ref="A51:E54" etc:filterBottomFollowUsedRange="0"/>
  <tableColumns count="5">
    <tableColumn id="1" name="Column1" dataDxfId="1"/>
    <tableColumn id="2" name="Column2" dataDxfId="2"/>
    <tableColumn id="3" name="Column3" dataDxfId="3"/>
    <tableColumn id="4" name="Column4" dataDxfId="4"/>
    <tableColumn id="5" name="Column5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F46" totalsRowShown="0">
  <autoFilter xmlns:etc="http://www.wps.cn/officeDocument/2017/etCustomData" ref="A1:F46" etc:filterBottomFollowUsedRange="0"/>
  <tableColumns count="6">
    <tableColumn id="1" name="Food Item" dataDxfId="8"/>
    <tableColumn id="2" name="Purchased Quantity (kg)" dataDxfId="9"/>
    <tableColumn id="3" name="Consumed Quantity (kg)" dataDxfId="10"/>
    <tableColumn id="4" name="Wasted Quantity (kg)" dataDxfId="11"/>
    <tableColumn id="5" name="Purchase Frequency (per week)" dataDxfId="12"/>
    <tableColumn id="7" name="wastage" dataDxf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5"/>
  <sheetViews>
    <sheetView tabSelected="1" zoomScale="86" zoomScaleNormal="86" topLeftCell="C1" workbookViewId="0">
      <selection activeCell="E3" sqref="E3"/>
    </sheetView>
  </sheetViews>
  <sheetFormatPr defaultColWidth="8.72727272727273" defaultRowHeight="14.5" outlineLevelCol="5"/>
  <cols>
    <col min="1" max="1" width="14.5454545454545" style="1"/>
    <col min="2" max="37" width="36.8181818181818" style="1"/>
    <col min="38" max="38" width="32.5454545454545" style="1"/>
    <col min="39" max="39" width="35.0909090909091" style="1"/>
    <col min="40" max="40" width="35.3636363636364" style="1"/>
    <col min="41" max="41" width="42.0909090909091" style="1"/>
    <col min="42" max="16384" width="8.72727272727273" style="1"/>
  </cols>
  <sheetData>
    <row r="1" spans="3:3">
      <c r="C1" s="1" t="s">
        <v>0</v>
      </c>
    </row>
    <row r="2" spans="1:4">
      <c r="A2"/>
      <c r="B2" s="6" t="s">
        <v>1</v>
      </c>
      <c r="C2" s="6"/>
      <c r="D2" s="6"/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/>
    </row>
    <row r="5" spans="1:6">
      <c r="A5" s="1" t="s">
        <v>7</v>
      </c>
      <c r="B5" s="1">
        <v>1</v>
      </c>
      <c r="C5" s="1">
        <v>3</v>
      </c>
      <c r="D5" s="1">
        <v>2</v>
      </c>
      <c r="E5" s="1">
        <v>2</v>
      </c>
      <c r="F5"/>
    </row>
    <row r="6" spans="1:6">
      <c r="A6" s="1" t="s">
        <v>8</v>
      </c>
      <c r="B6" s="1">
        <v>0.1</v>
      </c>
      <c r="C6" s="1">
        <v>0.5</v>
      </c>
      <c r="D6" s="1">
        <v>0.4</v>
      </c>
      <c r="E6" s="1">
        <v>1</v>
      </c>
      <c r="F6"/>
    </row>
    <row r="7" spans="1:6">
      <c r="A7" s="1" t="s">
        <v>9</v>
      </c>
      <c r="B7" s="1">
        <v>0.5</v>
      </c>
      <c r="C7" s="1">
        <v>2</v>
      </c>
      <c r="D7" s="1">
        <v>1.5</v>
      </c>
      <c r="E7" s="1">
        <v>3</v>
      </c>
      <c r="F7"/>
    </row>
    <row r="8" spans="1:6">
      <c r="A8" s="1" t="s">
        <v>10</v>
      </c>
      <c r="B8" s="1">
        <v>0.2</v>
      </c>
      <c r="C8" s="1">
        <v>3</v>
      </c>
      <c r="D8" s="1">
        <v>2.8</v>
      </c>
      <c r="E8" s="1">
        <v>2</v>
      </c>
      <c r="F8"/>
    </row>
    <row r="9" spans="1:6">
      <c r="A9" s="1" t="s">
        <v>11</v>
      </c>
      <c r="B9" s="1">
        <v>0.3</v>
      </c>
      <c r="C9" s="1">
        <v>3</v>
      </c>
      <c r="D9" s="1">
        <v>2.7</v>
      </c>
      <c r="E9" s="1">
        <v>1</v>
      </c>
      <c r="F9"/>
    </row>
    <row r="10" spans="1:6">
      <c r="A10" s="1" t="s">
        <v>12</v>
      </c>
      <c r="B10" s="1">
        <v>1</v>
      </c>
      <c r="C10" s="1">
        <v>5</v>
      </c>
      <c r="D10" s="1">
        <v>4</v>
      </c>
      <c r="E10" s="1">
        <v>3</v>
      </c>
      <c r="F10"/>
    </row>
    <row r="11" spans="1:6">
      <c r="A11" s="1" t="s">
        <v>13</v>
      </c>
      <c r="B11" s="1">
        <v>0.2</v>
      </c>
      <c r="C11" s="1">
        <v>1</v>
      </c>
      <c r="D11" s="1">
        <v>0.8</v>
      </c>
      <c r="E11" s="1">
        <v>2</v>
      </c>
      <c r="F11"/>
    </row>
    <row r="12" spans="1:6">
      <c r="A12" s="1" t="s">
        <v>14</v>
      </c>
      <c r="B12" s="1">
        <v>0.5</v>
      </c>
      <c r="C12" s="1">
        <v>3</v>
      </c>
      <c r="D12" s="1">
        <v>2.5</v>
      </c>
      <c r="E12" s="1">
        <v>3</v>
      </c>
      <c r="F12"/>
    </row>
    <row r="13" spans="1:6">
      <c r="A13" s="1" t="s">
        <v>15</v>
      </c>
      <c r="B13" s="1">
        <v>0.2</v>
      </c>
      <c r="C13" s="1">
        <v>1</v>
      </c>
      <c r="D13" s="1">
        <v>0.8</v>
      </c>
      <c r="E13" s="1">
        <v>1</v>
      </c>
      <c r="F13"/>
    </row>
    <row r="14" spans="1:6">
      <c r="A14" s="1" t="s">
        <v>16</v>
      </c>
      <c r="B14" s="1">
        <v>0.5</v>
      </c>
      <c r="C14" s="1">
        <v>2</v>
      </c>
      <c r="D14" s="1">
        <v>1.5</v>
      </c>
      <c r="E14" s="1">
        <v>1</v>
      </c>
      <c r="F14"/>
    </row>
    <row r="15" spans="1:6">
      <c r="A15" s="1" t="s">
        <v>17</v>
      </c>
      <c r="B15" s="1">
        <v>0.1</v>
      </c>
      <c r="C15" s="1">
        <v>1</v>
      </c>
      <c r="D15" s="1">
        <v>0.9</v>
      </c>
      <c r="E15" s="1">
        <v>2</v>
      </c>
      <c r="F15"/>
    </row>
    <row r="16" spans="1:6">
      <c r="A16" s="1" t="s">
        <v>18</v>
      </c>
      <c r="B16" s="1">
        <v>0.1</v>
      </c>
      <c r="C16" s="1">
        <v>1</v>
      </c>
      <c r="D16" s="1">
        <v>0.9</v>
      </c>
      <c r="E16" s="1">
        <v>2</v>
      </c>
      <c r="F16"/>
    </row>
    <row r="17" spans="1:6">
      <c r="A17" s="1" t="s">
        <v>19</v>
      </c>
      <c r="B17" s="1">
        <v>0.5</v>
      </c>
      <c r="C17" s="1">
        <v>2</v>
      </c>
      <c r="D17" s="1">
        <v>1.5</v>
      </c>
      <c r="E17" s="1">
        <v>2</v>
      </c>
      <c r="F17"/>
    </row>
    <row r="18" spans="1:6">
      <c r="A18" s="1" t="s">
        <v>20</v>
      </c>
      <c r="B18" s="1">
        <v>0.5</v>
      </c>
      <c r="C18" s="1">
        <v>3</v>
      </c>
      <c r="D18" s="1">
        <v>2.5</v>
      </c>
      <c r="E18" s="1">
        <v>2</v>
      </c>
      <c r="F18"/>
    </row>
    <row r="19" spans="1:6">
      <c r="A19" s="1" t="s">
        <v>21</v>
      </c>
      <c r="B19" s="1">
        <v>2</v>
      </c>
      <c r="C19" s="1">
        <v>12</v>
      </c>
      <c r="D19" s="1">
        <v>10</v>
      </c>
      <c r="E19" s="1">
        <v>2</v>
      </c>
      <c r="F19"/>
    </row>
    <row r="20" spans="1:6">
      <c r="A20" s="1" t="s">
        <v>22</v>
      </c>
      <c r="B20" s="1">
        <v>0.5</v>
      </c>
      <c r="C20" s="1">
        <v>3</v>
      </c>
      <c r="D20" s="1">
        <v>2.5</v>
      </c>
      <c r="E20" s="1">
        <v>1</v>
      </c>
      <c r="F20"/>
    </row>
    <row r="21" spans="1:6">
      <c r="A21" s="1" t="s">
        <v>23</v>
      </c>
      <c r="B21" s="1">
        <v>0.2</v>
      </c>
      <c r="C21" s="1">
        <v>4</v>
      </c>
      <c r="D21" s="1">
        <v>3.8</v>
      </c>
      <c r="E21" s="1">
        <v>2</v>
      </c>
      <c r="F21"/>
    </row>
    <row r="22" spans="1:6">
      <c r="A22" s="1" t="s">
        <v>24</v>
      </c>
      <c r="B22" s="1">
        <v>0.3</v>
      </c>
      <c r="C22" s="1">
        <v>1.5</v>
      </c>
      <c r="D22" s="1">
        <v>1.2</v>
      </c>
      <c r="E22" s="1">
        <v>1</v>
      </c>
      <c r="F22"/>
    </row>
    <row r="23" spans="1:6">
      <c r="A23" s="1" t="s">
        <v>25</v>
      </c>
      <c r="B23" s="1">
        <v>0.1</v>
      </c>
      <c r="C23" s="1">
        <v>1</v>
      </c>
      <c r="D23" s="1">
        <v>0.9</v>
      </c>
      <c r="E23" s="1">
        <v>2</v>
      </c>
      <c r="F23"/>
    </row>
    <row r="24" spans="1:6">
      <c r="A24" s="1" t="s">
        <v>26</v>
      </c>
      <c r="B24" s="1">
        <v>0.2</v>
      </c>
      <c r="C24" s="1">
        <v>2</v>
      </c>
      <c r="D24" s="1">
        <v>1.8</v>
      </c>
      <c r="E24" s="1">
        <v>2</v>
      </c>
      <c r="F24"/>
    </row>
    <row r="25" spans="1:6">
      <c r="A25" s="1" t="s">
        <v>27</v>
      </c>
      <c r="B25" s="1">
        <v>0.2</v>
      </c>
      <c r="C25" s="1">
        <v>2</v>
      </c>
      <c r="D25" s="1">
        <v>1.8</v>
      </c>
      <c r="E25" s="1">
        <v>2</v>
      </c>
      <c r="F25"/>
    </row>
    <row r="26" spans="1:6">
      <c r="A26" s="1" t="s">
        <v>28</v>
      </c>
      <c r="B26" s="1">
        <v>0.3</v>
      </c>
      <c r="C26" s="1">
        <v>1</v>
      </c>
      <c r="D26" s="1">
        <v>0.7</v>
      </c>
      <c r="E26" s="1">
        <v>2</v>
      </c>
      <c r="F26"/>
    </row>
    <row r="27" spans="1:6">
      <c r="A27" s="1" t="s">
        <v>29</v>
      </c>
      <c r="B27" s="1">
        <v>0.5</v>
      </c>
      <c r="C27" s="1">
        <v>2</v>
      </c>
      <c r="D27" s="1">
        <v>1.5</v>
      </c>
      <c r="E27" s="1">
        <v>2</v>
      </c>
      <c r="F27"/>
    </row>
    <row r="28" spans="1:6">
      <c r="A28" s="1" t="s">
        <v>30</v>
      </c>
      <c r="B28" s="1">
        <v>0.2</v>
      </c>
      <c r="C28" s="1">
        <v>1</v>
      </c>
      <c r="D28" s="1">
        <v>0.8</v>
      </c>
      <c r="E28" s="1">
        <v>1</v>
      </c>
      <c r="F28"/>
    </row>
    <row r="29" spans="1:6">
      <c r="A29" s="1" t="s">
        <v>31</v>
      </c>
      <c r="B29" s="1">
        <v>0.1</v>
      </c>
      <c r="C29" s="1">
        <v>1.5</v>
      </c>
      <c r="D29" s="1">
        <v>1.4</v>
      </c>
      <c r="E29" s="1">
        <v>1</v>
      </c>
      <c r="F29"/>
    </row>
    <row r="30" spans="1:6">
      <c r="A30" s="1" t="s">
        <v>32</v>
      </c>
      <c r="B30" s="1">
        <v>0.2</v>
      </c>
      <c r="C30" s="1">
        <v>3</v>
      </c>
      <c r="D30" s="1">
        <v>2.8</v>
      </c>
      <c r="E30" s="1">
        <v>1</v>
      </c>
      <c r="F30"/>
    </row>
    <row r="31" spans="1:6">
      <c r="A31" s="1" t="s">
        <v>33</v>
      </c>
      <c r="B31" s="1">
        <v>1</v>
      </c>
      <c r="C31" s="1">
        <v>4</v>
      </c>
      <c r="D31" s="1">
        <v>3</v>
      </c>
      <c r="E31" s="1">
        <v>2</v>
      </c>
      <c r="F31"/>
    </row>
    <row r="32" spans="1:6">
      <c r="A32" s="1" t="s">
        <v>34</v>
      </c>
      <c r="B32" s="1">
        <v>0.2</v>
      </c>
      <c r="C32" s="1">
        <v>2</v>
      </c>
      <c r="D32" s="1">
        <v>1.8</v>
      </c>
      <c r="E32" s="1">
        <v>2</v>
      </c>
      <c r="F32"/>
    </row>
    <row r="33" spans="1:6">
      <c r="A33" s="1" t="s">
        <v>35</v>
      </c>
      <c r="B33" s="1">
        <v>0.5</v>
      </c>
      <c r="C33" s="1">
        <v>4</v>
      </c>
      <c r="D33" s="1">
        <v>3.5</v>
      </c>
      <c r="E33" s="1">
        <v>1</v>
      </c>
      <c r="F33"/>
    </row>
    <row r="34" spans="1:6">
      <c r="A34" s="1" t="s">
        <v>36</v>
      </c>
      <c r="B34" s="1">
        <v>0.2</v>
      </c>
      <c r="C34" s="1">
        <v>2</v>
      </c>
      <c r="D34" s="1">
        <v>1.8</v>
      </c>
      <c r="E34" s="1">
        <v>2</v>
      </c>
      <c r="F34"/>
    </row>
    <row r="35" spans="1:6">
      <c r="A35" s="1" t="s">
        <v>37</v>
      </c>
      <c r="B35" s="1">
        <v>0.5</v>
      </c>
      <c r="C35" s="1">
        <v>2</v>
      </c>
      <c r="D35" s="1">
        <v>1.5</v>
      </c>
      <c r="E35" s="1">
        <v>1</v>
      </c>
      <c r="F35"/>
    </row>
    <row r="36" spans="1:6">
      <c r="A36" s="1" t="s">
        <v>38</v>
      </c>
      <c r="B36" s="1">
        <v>0.2</v>
      </c>
      <c r="C36" s="1">
        <v>2</v>
      </c>
      <c r="D36" s="1">
        <v>1.8</v>
      </c>
      <c r="E36" s="1">
        <v>1</v>
      </c>
      <c r="F36"/>
    </row>
    <row r="37" spans="1:6">
      <c r="A37" s="1" t="s">
        <v>39</v>
      </c>
      <c r="B37" s="1">
        <v>0.2</v>
      </c>
      <c r="C37" s="1">
        <v>4</v>
      </c>
      <c r="D37" s="1">
        <v>3.8</v>
      </c>
      <c r="E37" s="1">
        <v>1</v>
      </c>
      <c r="F37"/>
    </row>
    <row r="38" spans="1:6">
      <c r="A38" s="1" t="s">
        <v>40</v>
      </c>
      <c r="B38" s="1">
        <v>1</v>
      </c>
      <c r="C38" s="1">
        <v>6</v>
      </c>
      <c r="D38" s="1">
        <v>5</v>
      </c>
      <c r="E38" s="1">
        <v>3</v>
      </c>
      <c r="F38"/>
    </row>
    <row r="39" spans="1:6">
      <c r="A39" s="1" t="s">
        <v>41</v>
      </c>
      <c r="B39" s="1">
        <v>1</v>
      </c>
      <c r="C39" s="1">
        <v>4</v>
      </c>
      <c r="D39" s="1">
        <v>3</v>
      </c>
      <c r="E39" s="1">
        <v>2</v>
      </c>
      <c r="F39"/>
    </row>
    <row r="40" spans="1:6">
      <c r="A40" s="1" t="s">
        <v>42</v>
      </c>
      <c r="B40" s="1">
        <v>0.1</v>
      </c>
      <c r="C40" s="1">
        <v>1</v>
      </c>
      <c r="D40" s="1">
        <v>0.9</v>
      </c>
      <c r="E40" s="1">
        <v>1</v>
      </c>
      <c r="F40"/>
    </row>
    <row r="41" spans="1:6">
      <c r="A41" s="1" t="s">
        <v>43</v>
      </c>
      <c r="B41" s="1">
        <v>0.2</v>
      </c>
      <c r="C41" s="1">
        <v>1</v>
      </c>
      <c r="D41" s="1">
        <v>0.8</v>
      </c>
      <c r="E41" s="1">
        <v>1</v>
      </c>
      <c r="F41"/>
    </row>
    <row r="42" spans="1:6">
      <c r="A42" s="1" t="s">
        <v>44</v>
      </c>
      <c r="B42" s="1">
        <v>0.2</v>
      </c>
      <c r="C42" s="1">
        <v>1</v>
      </c>
      <c r="D42" s="1">
        <v>0.8</v>
      </c>
      <c r="E42" s="1">
        <v>2</v>
      </c>
      <c r="F42"/>
    </row>
    <row r="43" spans="1:6">
      <c r="A43" s="1" t="s">
        <v>45</v>
      </c>
      <c r="B43" s="1">
        <v>0.3</v>
      </c>
      <c r="C43" s="1">
        <v>1.5</v>
      </c>
      <c r="D43" s="1">
        <v>1.2</v>
      </c>
      <c r="E43" s="1">
        <v>1</v>
      </c>
      <c r="F43"/>
    </row>
    <row r="44" spans="1:6">
      <c r="A44" s="1" t="s">
        <v>46</v>
      </c>
      <c r="B44" s="1">
        <v>0.2</v>
      </c>
      <c r="C44" s="1">
        <v>2</v>
      </c>
      <c r="D44" s="1">
        <v>1.8</v>
      </c>
      <c r="E44" s="1">
        <v>2</v>
      </c>
      <c r="F44"/>
    </row>
    <row r="45" spans="1:6">
      <c r="A45" s="1" t="s">
        <v>47</v>
      </c>
      <c r="B45" s="1">
        <v>0.1</v>
      </c>
      <c r="C45" s="1">
        <v>0.5</v>
      </c>
      <c r="D45" s="1">
        <v>0.4</v>
      </c>
      <c r="E45" s="1">
        <v>1</v>
      </c>
      <c r="F45"/>
    </row>
    <row r="46" spans="1:6">
      <c r="A46" s="1" t="s">
        <v>48</v>
      </c>
      <c r="B46" s="1">
        <v>0.5</v>
      </c>
      <c r="C46" s="1">
        <v>5</v>
      </c>
      <c r="D46" s="1">
        <v>4.5</v>
      </c>
      <c r="E46" s="1">
        <v>3</v>
      </c>
      <c r="F46"/>
    </row>
    <row r="47" spans="1:6">
      <c r="A47" s="1" t="s">
        <v>49</v>
      </c>
      <c r="B47" s="1">
        <v>0.5</v>
      </c>
      <c r="C47" s="1">
        <v>5</v>
      </c>
      <c r="D47" s="1">
        <v>4.5</v>
      </c>
      <c r="E47" s="1">
        <v>1</v>
      </c>
      <c r="F47"/>
    </row>
    <row r="48" spans="1:6">
      <c r="A48" s="1" t="s">
        <v>50</v>
      </c>
      <c r="B48" s="1">
        <v>0.2</v>
      </c>
      <c r="C48" s="1">
        <v>2</v>
      </c>
      <c r="D48" s="1">
        <v>1.8</v>
      </c>
      <c r="E48" s="1">
        <v>2</v>
      </c>
      <c r="F48"/>
    </row>
    <row r="49" spans="1:6">
      <c r="A49" s="1" t="s">
        <v>51</v>
      </c>
      <c r="B49" s="1">
        <v>0.3</v>
      </c>
      <c r="C49" s="1">
        <v>1.5</v>
      </c>
      <c r="D49" s="1">
        <v>1.2</v>
      </c>
      <c r="E49" s="1">
        <v>1</v>
      </c>
      <c r="F49"/>
    </row>
    <row r="50" spans="1:6">
      <c r="A50" s="1" t="s">
        <v>52</v>
      </c>
      <c r="B50" s="1">
        <v>17.9</v>
      </c>
      <c r="C50" s="1">
        <v>115</v>
      </c>
      <c r="D50" s="1">
        <v>97.1</v>
      </c>
      <c r="E50" s="1">
        <v>76</v>
      </c>
      <c r="F50"/>
    </row>
    <row r="51" spans="1:5">
      <c r="A51" t="s">
        <v>53</v>
      </c>
      <c r="B51" t="s">
        <v>54</v>
      </c>
      <c r="C51" t="s">
        <v>55</v>
      </c>
      <c r="D51" t="s">
        <v>56</v>
      </c>
      <c r="E51" t="s">
        <v>57</v>
      </c>
    </row>
    <row r="52" ht="29" spans="1:5">
      <c r="A52" s="7" t="s">
        <v>58</v>
      </c>
      <c r="B52" s="1">
        <f>_xlfn.STDEV.S(B5:B49)</f>
        <v>0.362747651385724</v>
      </c>
      <c r="C52" s="1">
        <f>_xlfn.STDEV.S(C5:C49)</f>
        <v>1.97490570034433</v>
      </c>
      <c r="D52" s="1">
        <f>_xlfn.STDEV.S(D5:D49)</f>
        <v>1.68070451798276</v>
      </c>
      <c r="E52" s="1">
        <f>_xlfn.STDEV.S(E5:E49)</f>
        <v>0.668180100320749</v>
      </c>
    </row>
    <row r="53" spans="1:5">
      <c r="A53" s="1" t="s">
        <v>59</v>
      </c>
      <c r="B53" s="1">
        <f>AVERAGE(B5:B49)</f>
        <v>0.397777777777778</v>
      </c>
      <c r="C53" s="1">
        <f>AVERAGE(C5:C49)</f>
        <v>2.55555555555556</v>
      </c>
      <c r="D53" s="1">
        <f>AVERAGE(D5:D49)</f>
        <v>2.15777777777778</v>
      </c>
      <c r="E53" s="1">
        <f>AVERAGE(E5:E49)</f>
        <v>1.68888888888889</v>
      </c>
    </row>
    <row r="54" spans="1:5">
      <c r="A54" s="1" t="s">
        <v>60</v>
      </c>
      <c r="B54" s="1">
        <f ca="1">GETPIVOTDATA("Sum of Wasted Quantity (kg)",$A$4,"Food Item","Eggs")-GETPIVOTDATA("Sum of Wasted Quantity (kg)",$A$4,"Food Item","Nuts")</f>
        <v>1.9</v>
      </c>
      <c r="C54" s="1">
        <f ca="1">GETPIVOTDATA("Sum of Purchased Quantity (kg)",$A$4,"Food Item","Eggs")-GETPIVOTDATA("Sum of Purchased Quantity (kg)",$A$4,"Food Item","Baking Powder")</f>
        <v>11.5</v>
      </c>
      <c r="D54" s="1">
        <f ca="1">GETPIVOTDATA("Sum of Consumed Quantity (kg)",$A$4,"Food Item","Eggs")-GETPIVOTDATA("Sum of Consumed Quantity (kg)",$A$4,"Food Item","Baking Powder")</f>
        <v>9.6</v>
      </c>
      <c r="E54" s="1">
        <f ca="1">GETPIVOTDATA("Sum of Purchase Frequency (per week)",$A$4,"Food Item","Tomatoes")-GETPIVOTDATA("Sum of Purchase Frequency (per week)",$A$4,"Food Item","Zucchini")</f>
        <v>2</v>
      </c>
    </row>
    <row r="57" spans="1:1">
      <c r="A57" s="1" t="s">
        <v>61</v>
      </c>
    </row>
    <row r="58" spans="1:1">
      <c r="A58" s="1" t="s">
        <v>62</v>
      </c>
    </row>
    <row r="59" spans="1:1">
      <c r="A59" s="1" t="s">
        <v>63</v>
      </c>
    </row>
    <row r="60" spans="1:1">
      <c r="A60" s="1" t="s">
        <v>64</v>
      </c>
    </row>
    <row r="61" spans="1:1">
      <c r="A61" s="1" t="s">
        <v>65</v>
      </c>
    </row>
    <row r="62" spans="1:1">
      <c r="A62" s="1" t="s">
        <v>66</v>
      </c>
    </row>
    <row r="63" spans="1:1">
      <c r="A63" s="1" t="s">
        <v>67</v>
      </c>
    </row>
    <row r="64" spans="1:1">
      <c r="A64" s="1" t="s">
        <v>68</v>
      </c>
    </row>
    <row r="65" spans="1:1">
      <c r="A65" s="1" t="s">
        <v>69</v>
      </c>
    </row>
    <row r="66" spans="1:1">
      <c r="A66" s="1" t="s">
        <v>65</v>
      </c>
    </row>
    <row r="67" spans="1:1">
      <c r="A67" s="1" t="s">
        <v>70</v>
      </c>
    </row>
    <row r="68" spans="1:1">
      <c r="A68" s="1" t="s">
        <v>71</v>
      </c>
    </row>
    <row r="69" spans="1:1">
      <c r="A69" s="1" t="s">
        <v>72</v>
      </c>
    </row>
    <row r="70" spans="1:1">
      <c r="A70" s="1" t="s">
        <v>73</v>
      </c>
    </row>
    <row r="71" spans="1:1">
      <c r="A71" s="1" t="s">
        <v>65</v>
      </c>
    </row>
    <row r="72" spans="1:1">
      <c r="A72" s="1" t="s">
        <v>74</v>
      </c>
    </row>
    <row r="73" spans="1:1">
      <c r="A73" s="1" t="s">
        <v>75</v>
      </c>
    </row>
    <row r="74" spans="1:1">
      <c r="A74" s="1" t="s">
        <v>76</v>
      </c>
    </row>
    <row r="75" spans="1:1">
      <c r="A75" s="1" t="s">
        <v>77</v>
      </c>
    </row>
  </sheetData>
  <mergeCells count="1">
    <mergeCell ref="B2:D2"/>
  </mergeCells>
  <conditionalFormatting sqref="B5:B49">
    <cfRule type="top10" dxfId="6" priority="8" rank="1"/>
    <cfRule type="top10" dxfId="7" priority="7" bottom="1" rank="1"/>
  </conditionalFormatting>
  <conditionalFormatting sqref="C5:C49">
    <cfRule type="top10" dxfId="6" priority="6" rank="1"/>
    <cfRule type="top10" dxfId="7" priority="5" bottom="1" rank="1"/>
  </conditionalFormatting>
  <conditionalFormatting sqref="D5:D49">
    <cfRule type="top10" dxfId="6" priority="4" rank="1"/>
    <cfRule type="top10" dxfId="7" priority="3" bottom="1" rank="1"/>
  </conditionalFormatting>
  <conditionalFormatting sqref="E5:E49">
    <cfRule type="top10" dxfId="6" priority="2" rank="1"/>
    <cfRule type="top10" dxfId="7" priority="1" bottom="1" rank="1"/>
  </conditionalFormatting>
  <pageMargins left="0.75" right="0.75" top="1" bottom="1" header="0.5" footer="0.5"/>
  <headerFooter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topLeftCell="A29" workbookViewId="0">
      <selection activeCell="A1" sqref="A1:E46"/>
    </sheetView>
  </sheetViews>
  <sheetFormatPr defaultColWidth="9" defaultRowHeight="14.5"/>
  <cols>
    <col min="1" max="1" width="10.1818181818182" style="1" customWidth="1"/>
    <col min="2" max="2" width="23.2727272727273" style="1" customWidth="1"/>
    <col min="3" max="3" width="23.4545454545455" style="1" customWidth="1"/>
    <col min="4" max="4" width="20.6363636363636" style="1" customWidth="1"/>
    <col min="5" max="5" width="30" style="1" customWidth="1"/>
    <col min="6" max="6" width="17.3636363636364" style="1" customWidth="1"/>
    <col min="7" max="16384" width="9" style="1"/>
  </cols>
  <sheetData>
    <row r="1" spans="1:6">
      <c r="A1" s="2" t="s">
        <v>2</v>
      </c>
      <c r="B1" s="2" t="s">
        <v>78</v>
      </c>
      <c r="C1" s="2" t="s">
        <v>79</v>
      </c>
      <c r="D1" s="2" t="s">
        <v>80</v>
      </c>
      <c r="E1" s="2" t="s">
        <v>81</v>
      </c>
      <c r="F1" s="1" t="s">
        <v>82</v>
      </c>
    </row>
    <row r="2" spans="1:9">
      <c r="A2" s="1" t="s">
        <v>29</v>
      </c>
      <c r="B2" s="1">
        <v>2</v>
      </c>
      <c r="C2" s="1">
        <v>1.5</v>
      </c>
      <c r="D2" s="1">
        <v>0.5</v>
      </c>
      <c r="E2" s="1">
        <v>2</v>
      </c>
      <c r="F2" s="3">
        <f t="shared" ref="F2:F46" si="0">D2/$I$2*100</f>
        <v>2.79329608938548</v>
      </c>
      <c r="I2" s="5">
        <v>17.9</v>
      </c>
    </row>
    <row r="3" spans="1:6">
      <c r="A3" s="1" t="s">
        <v>12</v>
      </c>
      <c r="B3" s="1">
        <v>5</v>
      </c>
      <c r="C3" s="1">
        <v>4</v>
      </c>
      <c r="D3" s="1">
        <v>1</v>
      </c>
      <c r="E3" s="1">
        <v>3</v>
      </c>
      <c r="F3" s="3">
        <f t="shared" si="0"/>
        <v>5.58659217877095</v>
      </c>
    </row>
    <row r="4" spans="1:6">
      <c r="A4" s="1" t="s">
        <v>7</v>
      </c>
      <c r="B4" s="1">
        <v>3</v>
      </c>
      <c r="C4" s="1">
        <v>2</v>
      </c>
      <c r="D4" s="1">
        <v>1</v>
      </c>
      <c r="E4" s="1">
        <v>2</v>
      </c>
      <c r="F4" s="3">
        <f t="shared" si="0"/>
        <v>5.58659217877095</v>
      </c>
    </row>
    <row r="5" spans="1:6">
      <c r="A5" s="1" t="s">
        <v>16</v>
      </c>
      <c r="B5" s="1">
        <v>2</v>
      </c>
      <c r="C5" s="1">
        <v>1.5</v>
      </c>
      <c r="D5" s="1">
        <v>0.5</v>
      </c>
      <c r="E5" s="1">
        <v>1</v>
      </c>
      <c r="F5" s="3">
        <f t="shared" si="0"/>
        <v>2.79329608938548</v>
      </c>
    </row>
    <row r="6" spans="1:6">
      <c r="A6" s="1" t="s">
        <v>41</v>
      </c>
      <c r="B6" s="1">
        <v>4</v>
      </c>
      <c r="C6" s="1">
        <v>3</v>
      </c>
      <c r="D6" s="1">
        <v>1</v>
      </c>
      <c r="E6" s="1">
        <v>2</v>
      </c>
      <c r="F6" s="3">
        <f t="shared" si="0"/>
        <v>5.58659217877095</v>
      </c>
    </row>
    <row r="7" spans="1:6">
      <c r="A7" s="4" t="s">
        <v>40</v>
      </c>
      <c r="B7" s="4">
        <v>6</v>
      </c>
      <c r="C7" s="4">
        <v>5</v>
      </c>
      <c r="D7" s="4">
        <v>1</v>
      </c>
      <c r="E7" s="4">
        <v>3</v>
      </c>
      <c r="F7" s="3">
        <f t="shared" si="0"/>
        <v>5.58659217877095</v>
      </c>
    </row>
    <row r="8" spans="1:6">
      <c r="A8" s="4" t="s">
        <v>21</v>
      </c>
      <c r="B8" s="4">
        <v>12</v>
      </c>
      <c r="C8" s="4">
        <v>10</v>
      </c>
      <c r="D8" s="4">
        <v>2</v>
      </c>
      <c r="E8" s="4">
        <v>2</v>
      </c>
      <c r="F8" s="3">
        <f t="shared" si="0"/>
        <v>11.1731843575419</v>
      </c>
    </row>
    <row r="9" spans="1:6">
      <c r="A9" s="4" t="s">
        <v>22</v>
      </c>
      <c r="B9" s="4">
        <v>3</v>
      </c>
      <c r="C9" s="4">
        <v>2.5</v>
      </c>
      <c r="D9" s="4">
        <v>0.5</v>
      </c>
      <c r="E9" s="4">
        <v>1</v>
      </c>
      <c r="F9" s="3">
        <f t="shared" si="0"/>
        <v>2.79329608938548</v>
      </c>
    </row>
    <row r="10" spans="1:6">
      <c r="A10" s="4" t="s">
        <v>9</v>
      </c>
      <c r="B10" s="4">
        <v>2</v>
      </c>
      <c r="C10" s="4">
        <v>1.5</v>
      </c>
      <c r="D10" s="4">
        <v>0.5</v>
      </c>
      <c r="E10" s="4">
        <v>3</v>
      </c>
      <c r="F10" s="3">
        <f t="shared" si="0"/>
        <v>2.79329608938548</v>
      </c>
    </row>
    <row r="11" spans="1:6">
      <c r="A11" s="4" t="s">
        <v>33</v>
      </c>
      <c r="B11" s="4">
        <v>4</v>
      </c>
      <c r="C11" s="4">
        <v>3</v>
      </c>
      <c r="D11" s="4">
        <v>1</v>
      </c>
      <c r="E11" s="4">
        <v>2</v>
      </c>
      <c r="F11" s="3">
        <f t="shared" si="0"/>
        <v>5.58659217877095</v>
      </c>
    </row>
    <row r="12" spans="1:6">
      <c r="A12" s="4" t="s">
        <v>48</v>
      </c>
      <c r="B12" s="4">
        <v>5</v>
      </c>
      <c r="C12" s="4">
        <v>4.5</v>
      </c>
      <c r="D12" s="4">
        <v>0.5</v>
      </c>
      <c r="E12" s="4">
        <v>3</v>
      </c>
      <c r="F12" s="3">
        <f t="shared" si="0"/>
        <v>2.79329608938548</v>
      </c>
    </row>
    <row r="13" spans="1:6">
      <c r="A13" s="4" t="s">
        <v>15</v>
      </c>
      <c r="B13" s="4">
        <v>1</v>
      </c>
      <c r="C13" s="4">
        <v>0.8</v>
      </c>
      <c r="D13" s="4">
        <v>0.2</v>
      </c>
      <c r="E13" s="4">
        <v>1</v>
      </c>
      <c r="F13" s="3">
        <f t="shared" si="0"/>
        <v>1.11731843575419</v>
      </c>
    </row>
    <row r="14" spans="1:6">
      <c r="A14" s="4" t="s">
        <v>50</v>
      </c>
      <c r="B14" s="4">
        <v>2</v>
      </c>
      <c r="C14" s="4">
        <v>1.8</v>
      </c>
      <c r="D14" s="4">
        <v>0.2</v>
      </c>
      <c r="E14" s="4">
        <v>2</v>
      </c>
      <c r="F14" s="3">
        <f t="shared" si="0"/>
        <v>1.11731843575419</v>
      </c>
    </row>
    <row r="15" spans="1:6">
      <c r="A15" s="4" t="s">
        <v>44</v>
      </c>
      <c r="B15" s="4">
        <v>1</v>
      </c>
      <c r="C15" s="4">
        <v>0.8</v>
      </c>
      <c r="D15" s="4">
        <v>0.2</v>
      </c>
      <c r="E15" s="4">
        <v>2</v>
      </c>
      <c r="F15" s="3">
        <f t="shared" si="0"/>
        <v>1.11731843575419</v>
      </c>
    </row>
    <row r="16" spans="1:6">
      <c r="A16" s="4" t="s">
        <v>11</v>
      </c>
      <c r="B16" s="4">
        <v>3</v>
      </c>
      <c r="C16" s="4">
        <v>2.7</v>
      </c>
      <c r="D16" s="4">
        <v>0.3</v>
      </c>
      <c r="E16" s="4">
        <v>1</v>
      </c>
      <c r="F16" s="3">
        <f t="shared" si="0"/>
        <v>1.67597765363128</v>
      </c>
    </row>
    <row r="17" spans="1:6">
      <c r="A17" s="4" t="s">
        <v>34</v>
      </c>
      <c r="B17" s="4">
        <v>2</v>
      </c>
      <c r="C17" s="4">
        <v>1.8</v>
      </c>
      <c r="D17" s="4">
        <v>0.2</v>
      </c>
      <c r="E17" s="4">
        <v>2</v>
      </c>
      <c r="F17" s="3">
        <f t="shared" si="0"/>
        <v>1.11731843575419</v>
      </c>
    </row>
    <row r="18" spans="1:6">
      <c r="A18" s="4" t="s">
        <v>24</v>
      </c>
      <c r="B18" s="4">
        <v>1.5</v>
      </c>
      <c r="C18" s="4">
        <v>1.2</v>
      </c>
      <c r="D18" s="4">
        <v>0.3</v>
      </c>
      <c r="E18" s="4">
        <v>1</v>
      </c>
      <c r="F18" s="3">
        <f t="shared" si="0"/>
        <v>1.67597765363128</v>
      </c>
    </row>
    <row r="19" spans="1:6">
      <c r="A19" s="4" t="s">
        <v>28</v>
      </c>
      <c r="B19" s="4">
        <v>1</v>
      </c>
      <c r="C19" s="4">
        <v>0.7</v>
      </c>
      <c r="D19" s="4">
        <v>0.3</v>
      </c>
      <c r="E19" s="4">
        <v>2</v>
      </c>
      <c r="F19" s="3">
        <f t="shared" si="0"/>
        <v>1.67597765363128</v>
      </c>
    </row>
    <row r="20" spans="1:6">
      <c r="A20" s="4" t="s">
        <v>14</v>
      </c>
      <c r="B20" s="4">
        <v>3</v>
      </c>
      <c r="C20" s="4">
        <v>2.5</v>
      </c>
      <c r="D20" s="4">
        <v>0.5</v>
      </c>
      <c r="E20" s="4">
        <v>3</v>
      </c>
      <c r="F20" s="3">
        <f t="shared" si="0"/>
        <v>2.79329608938548</v>
      </c>
    </row>
    <row r="21" spans="1:6">
      <c r="A21" s="4" t="s">
        <v>37</v>
      </c>
      <c r="B21" s="4">
        <v>2</v>
      </c>
      <c r="C21" s="4">
        <v>1.5</v>
      </c>
      <c r="D21" s="4">
        <v>0.5</v>
      </c>
      <c r="E21" s="4">
        <v>1</v>
      </c>
      <c r="F21" s="3">
        <f t="shared" si="0"/>
        <v>2.79329608938548</v>
      </c>
    </row>
    <row r="22" spans="1:6">
      <c r="A22" s="4" t="s">
        <v>10</v>
      </c>
      <c r="B22" s="4">
        <v>3</v>
      </c>
      <c r="C22" s="4">
        <v>2.8</v>
      </c>
      <c r="D22" s="4">
        <v>0.2</v>
      </c>
      <c r="E22" s="4">
        <v>2</v>
      </c>
      <c r="F22" s="3">
        <f t="shared" si="0"/>
        <v>1.11731843575419</v>
      </c>
    </row>
    <row r="23" spans="1:6">
      <c r="A23" s="4" t="s">
        <v>35</v>
      </c>
      <c r="B23" s="4">
        <v>4</v>
      </c>
      <c r="C23" s="4">
        <v>3.5</v>
      </c>
      <c r="D23" s="4">
        <v>0.5</v>
      </c>
      <c r="E23" s="4">
        <v>1</v>
      </c>
      <c r="F23" s="3">
        <f t="shared" si="0"/>
        <v>2.79329608938548</v>
      </c>
    </row>
    <row r="24" spans="1:6">
      <c r="A24" s="4" t="s">
        <v>27</v>
      </c>
      <c r="B24" s="4">
        <v>2</v>
      </c>
      <c r="C24" s="4">
        <v>1.8</v>
      </c>
      <c r="D24" s="4">
        <v>0.2</v>
      </c>
      <c r="E24" s="4">
        <v>2</v>
      </c>
      <c r="F24" s="3">
        <f t="shared" si="0"/>
        <v>1.11731843575419</v>
      </c>
    </row>
    <row r="25" ht="29" spans="1:6">
      <c r="A25" s="4" t="s">
        <v>49</v>
      </c>
      <c r="B25" s="4">
        <v>5</v>
      </c>
      <c r="C25" s="4">
        <v>4.5</v>
      </c>
      <c r="D25" s="4">
        <v>0.5</v>
      </c>
      <c r="E25" s="4">
        <v>1</v>
      </c>
      <c r="F25" s="3">
        <f t="shared" si="0"/>
        <v>2.79329608938548</v>
      </c>
    </row>
    <row r="26" spans="1:6">
      <c r="A26" s="4" t="s">
        <v>20</v>
      </c>
      <c r="B26" s="4">
        <v>3</v>
      </c>
      <c r="C26" s="4">
        <v>2.5</v>
      </c>
      <c r="D26" s="4">
        <v>0.5</v>
      </c>
      <c r="E26" s="4">
        <v>2</v>
      </c>
      <c r="F26" s="3">
        <f t="shared" si="0"/>
        <v>2.79329608938548</v>
      </c>
    </row>
    <row r="27" spans="1:6">
      <c r="A27" s="4" t="s">
        <v>39</v>
      </c>
      <c r="B27" s="4">
        <v>4</v>
      </c>
      <c r="C27" s="4">
        <v>3.8</v>
      </c>
      <c r="D27" s="4">
        <v>0.2</v>
      </c>
      <c r="E27" s="4">
        <v>1</v>
      </c>
      <c r="F27" s="3">
        <f t="shared" si="0"/>
        <v>1.11731843575419</v>
      </c>
    </row>
    <row r="28" spans="1:6">
      <c r="A28" s="4" t="s">
        <v>36</v>
      </c>
      <c r="B28" s="4">
        <v>2</v>
      </c>
      <c r="C28" s="4">
        <v>1.8</v>
      </c>
      <c r="D28" s="4">
        <v>0.2</v>
      </c>
      <c r="E28" s="4">
        <v>2</v>
      </c>
      <c r="F28" s="3">
        <f t="shared" si="0"/>
        <v>1.11731843575419</v>
      </c>
    </row>
    <row r="29" ht="29" spans="1:6">
      <c r="A29" s="4" t="s">
        <v>45</v>
      </c>
      <c r="B29" s="4">
        <v>1.5</v>
      </c>
      <c r="C29" s="4">
        <v>1.2</v>
      </c>
      <c r="D29" s="4">
        <v>0.3</v>
      </c>
      <c r="E29" s="4">
        <v>1</v>
      </c>
      <c r="F29" s="3">
        <f t="shared" si="0"/>
        <v>1.67597765363128</v>
      </c>
    </row>
    <row r="30" spans="1:6">
      <c r="A30" s="4" t="s">
        <v>13</v>
      </c>
      <c r="B30" s="4">
        <v>1</v>
      </c>
      <c r="C30" s="4">
        <v>0.8</v>
      </c>
      <c r="D30" s="4">
        <v>0.2</v>
      </c>
      <c r="E30" s="4">
        <v>2</v>
      </c>
      <c r="F30" s="3">
        <f t="shared" si="0"/>
        <v>1.11731843575419</v>
      </c>
    </row>
    <row r="31" spans="1:6">
      <c r="A31" s="4" t="s">
        <v>32</v>
      </c>
      <c r="B31" s="4">
        <v>3</v>
      </c>
      <c r="C31" s="4">
        <v>2.8</v>
      </c>
      <c r="D31" s="4">
        <v>0.2</v>
      </c>
      <c r="E31" s="4">
        <v>1</v>
      </c>
      <c r="F31" s="3">
        <f t="shared" si="0"/>
        <v>1.11731843575419</v>
      </c>
    </row>
    <row r="32" spans="1:6">
      <c r="A32" s="4" t="s">
        <v>46</v>
      </c>
      <c r="B32" s="4">
        <v>2</v>
      </c>
      <c r="C32" s="4">
        <v>1.8</v>
      </c>
      <c r="D32" s="4">
        <v>0.2</v>
      </c>
      <c r="E32" s="4">
        <v>2</v>
      </c>
      <c r="F32" s="3">
        <f t="shared" si="0"/>
        <v>1.11731843575419</v>
      </c>
    </row>
    <row r="33" spans="1:6">
      <c r="A33" s="4" t="s">
        <v>42</v>
      </c>
      <c r="B33" s="4">
        <v>1</v>
      </c>
      <c r="C33" s="4">
        <v>0.9</v>
      </c>
      <c r="D33" s="4">
        <v>0.1</v>
      </c>
      <c r="E33" s="4">
        <v>1</v>
      </c>
      <c r="F33" s="3">
        <f t="shared" si="0"/>
        <v>0.558659217877095</v>
      </c>
    </row>
    <row r="34" ht="29" spans="1:6">
      <c r="A34" s="4" t="s">
        <v>30</v>
      </c>
      <c r="B34" s="4">
        <v>1</v>
      </c>
      <c r="C34" s="4">
        <v>0.8</v>
      </c>
      <c r="D34" s="4">
        <v>0.2</v>
      </c>
      <c r="E34" s="4">
        <v>1</v>
      </c>
      <c r="F34" s="3">
        <f t="shared" si="0"/>
        <v>1.11731843575419</v>
      </c>
    </row>
    <row r="35" spans="1:6">
      <c r="A35" s="4" t="s">
        <v>19</v>
      </c>
      <c r="B35" s="4">
        <v>2</v>
      </c>
      <c r="C35" s="4">
        <v>1.5</v>
      </c>
      <c r="D35" s="4">
        <v>0.5</v>
      </c>
      <c r="E35" s="4">
        <v>2</v>
      </c>
      <c r="F35" s="3">
        <f t="shared" si="0"/>
        <v>2.79329608938548</v>
      </c>
    </row>
    <row r="36" spans="1:6">
      <c r="A36" s="4" t="s">
        <v>51</v>
      </c>
      <c r="B36" s="4">
        <v>1.5</v>
      </c>
      <c r="C36" s="4">
        <v>1.2</v>
      </c>
      <c r="D36" s="4">
        <v>0.3</v>
      </c>
      <c r="E36" s="4">
        <v>1</v>
      </c>
      <c r="F36" s="3">
        <f t="shared" si="0"/>
        <v>1.67597765363128</v>
      </c>
    </row>
    <row r="37" spans="1:6">
      <c r="A37" s="4" t="s">
        <v>38</v>
      </c>
      <c r="B37" s="4">
        <v>2</v>
      </c>
      <c r="C37" s="4">
        <v>1.8</v>
      </c>
      <c r="D37" s="4">
        <v>0.2</v>
      </c>
      <c r="E37" s="4">
        <v>1</v>
      </c>
      <c r="F37" s="3">
        <f t="shared" si="0"/>
        <v>1.11731843575419</v>
      </c>
    </row>
    <row r="38" spans="1:6">
      <c r="A38" s="4" t="s">
        <v>17</v>
      </c>
      <c r="B38" s="4">
        <v>1</v>
      </c>
      <c r="C38" s="4">
        <v>0.9</v>
      </c>
      <c r="D38" s="4">
        <v>0.1</v>
      </c>
      <c r="E38" s="4">
        <v>2</v>
      </c>
      <c r="F38" s="3">
        <f t="shared" si="0"/>
        <v>0.558659217877095</v>
      </c>
    </row>
    <row r="39" spans="1:6">
      <c r="A39" s="4" t="s">
        <v>26</v>
      </c>
      <c r="B39" s="4">
        <v>2</v>
      </c>
      <c r="C39" s="4">
        <v>1.8</v>
      </c>
      <c r="D39" s="4">
        <v>0.2</v>
      </c>
      <c r="E39" s="4">
        <v>2</v>
      </c>
      <c r="F39" s="3">
        <f t="shared" si="0"/>
        <v>1.11731843575419</v>
      </c>
    </row>
    <row r="40" spans="1:6">
      <c r="A40" s="4" t="s">
        <v>18</v>
      </c>
      <c r="B40" s="4">
        <v>1</v>
      </c>
      <c r="C40" s="4">
        <v>0.9</v>
      </c>
      <c r="D40" s="4">
        <v>0.1</v>
      </c>
      <c r="E40" s="4">
        <v>2</v>
      </c>
      <c r="F40" s="3">
        <f t="shared" si="0"/>
        <v>0.558659217877095</v>
      </c>
    </row>
    <row r="41" spans="1:6">
      <c r="A41" s="4" t="s">
        <v>47</v>
      </c>
      <c r="B41" s="4">
        <v>0.5</v>
      </c>
      <c r="C41" s="4">
        <v>0.4</v>
      </c>
      <c r="D41" s="4">
        <v>0.1</v>
      </c>
      <c r="E41" s="4">
        <v>1</v>
      </c>
      <c r="F41" s="3">
        <f t="shared" si="0"/>
        <v>0.558659217877095</v>
      </c>
    </row>
    <row r="42" spans="1:6">
      <c r="A42" s="4" t="s">
        <v>23</v>
      </c>
      <c r="B42" s="4">
        <v>4</v>
      </c>
      <c r="C42" s="4">
        <v>3.8</v>
      </c>
      <c r="D42" s="4">
        <v>0.2</v>
      </c>
      <c r="E42" s="4">
        <v>2</v>
      </c>
      <c r="F42" s="3">
        <f t="shared" si="0"/>
        <v>1.11731843575419</v>
      </c>
    </row>
    <row r="43" ht="29" spans="1:6">
      <c r="A43" s="4" t="s">
        <v>8</v>
      </c>
      <c r="B43" s="4">
        <v>0.5</v>
      </c>
      <c r="C43" s="4">
        <v>0.4</v>
      </c>
      <c r="D43" s="4">
        <v>0.1</v>
      </c>
      <c r="E43" s="4">
        <v>1</v>
      </c>
      <c r="F43" s="3">
        <f t="shared" si="0"/>
        <v>0.558659217877095</v>
      </c>
    </row>
    <row r="44" spans="1:6">
      <c r="A44" s="4" t="s">
        <v>25</v>
      </c>
      <c r="B44" s="4">
        <v>1</v>
      </c>
      <c r="C44" s="4">
        <v>0.9</v>
      </c>
      <c r="D44" s="4">
        <v>0.1</v>
      </c>
      <c r="E44" s="4">
        <v>2</v>
      </c>
      <c r="F44" s="3">
        <f t="shared" si="0"/>
        <v>0.558659217877095</v>
      </c>
    </row>
    <row r="45" spans="1:6">
      <c r="A45" s="4" t="s">
        <v>31</v>
      </c>
      <c r="B45" s="4">
        <v>1.5</v>
      </c>
      <c r="C45" s="4">
        <v>1.4</v>
      </c>
      <c r="D45" s="4">
        <v>0.1</v>
      </c>
      <c r="E45" s="4">
        <v>1</v>
      </c>
      <c r="F45" s="3">
        <f t="shared" si="0"/>
        <v>0.558659217877095</v>
      </c>
    </row>
    <row r="46" spans="1:6">
      <c r="A46" s="4" t="s">
        <v>43</v>
      </c>
      <c r="B46" s="4">
        <v>1</v>
      </c>
      <c r="C46" s="4">
        <v>0.8</v>
      </c>
      <c r="D46" s="4">
        <v>0.2</v>
      </c>
      <c r="E46" s="4">
        <v>1</v>
      </c>
      <c r="F46" s="3">
        <f t="shared" si="0"/>
        <v>1.11731843575419</v>
      </c>
    </row>
  </sheetData>
  <pageMargins left="0.7" right="0.7" top="0.75" bottom="0.75" header="0.3" footer="0.3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Sheet4</vt:lpstr>
      <vt:lpstr>Food Waste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Jagan</cp:lastModifiedBy>
  <dcterms:created xsi:type="dcterms:W3CDTF">2024-11-27T12:49:00Z</dcterms:created>
  <dcterms:modified xsi:type="dcterms:W3CDTF">2025-01-13T10:03:20Z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668C9579734B4FED816E127BD6EA9743_13</vt:lpwstr>
  </property>
  <property fmtid="{D5CDD505-2E9C-101B-9397-08002B2CF9AE}" pid="3" name="KSOProductBuildVer">
    <vt:lpwstr>1033-12.2.0.19307</vt:lpwstr>
  </property>
</Properties>
</file>